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3.xml" ContentType="application/vnd.openxmlformats-officedocument.drawing+xml"/>
  <Override PartName="/xl/comments1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gv03\Desktop\Al Metalscape\Code\"/>
    </mc:Choice>
  </mc:AlternateContent>
  <xr:revisionPtr revIDLastSave="0" documentId="13_ncr:1_{31FDBB45-FE5F-4A3F-894A-105223AA5AD5}" xr6:coauthVersionLast="47" xr6:coauthVersionMax="47" xr10:uidLastSave="{00000000-0000-0000-0000-000000000000}"/>
  <bookViews>
    <workbookView xWindow="-108" yWindow="-108" windowWidth="23256" windowHeight="12456" xr2:uid="{5159B8E2-B122-4A49-B7DD-CD7C2494F60C}"/>
  </bookViews>
  <sheets>
    <sheet name="Raw" sheetId="5" r:id="rId1"/>
    <sheet name="upstream" sheetId="8" r:id="rId2"/>
    <sheet name="downstream" sheetId="11" r:id="rId3"/>
    <sheet name="end_use" sheetId="4" r:id="rId4"/>
    <sheet name="Process" sheetId="3" r:id="rId5"/>
    <sheet name="Parameters" sheetId="10" r:id="rId6"/>
    <sheet name="A" sheetId="1" r:id="rId7"/>
    <sheet name="CF and cost" sheetId="13" r:id="rId8"/>
    <sheet name="semi_CF" sheetId="6" r:id="rId9"/>
    <sheet name="Display" sheetId="9" r:id="rId10"/>
    <sheet name="Scrap" sheetId="12" r:id="rId11"/>
    <sheet name="Scenario A" sheetId="15" r:id="rId12"/>
    <sheet name="Scenario B" sheetId="14" r:id="rId13"/>
  </sheets>
  <definedNames>
    <definedName name="_Ref171496331" localSheetId="9">Display!$AR$11</definedName>
    <definedName name="solver_adj" localSheetId="12" hidden="1">'Scenario B'!$C$4</definedName>
    <definedName name="solver_cvg" localSheetId="12" hidden="1">0.0001</definedName>
    <definedName name="solver_drv" localSheetId="12" hidden="1">1</definedName>
    <definedName name="solver_eng" localSheetId="12" hidden="1">1</definedName>
    <definedName name="solver_est" localSheetId="12" hidden="1">1</definedName>
    <definedName name="solver_itr" localSheetId="12" hidden="1">2147483647</definedName>
    <definedName name="solver_mip" localSheetId="12" hidden="1">2147483647</definedName>
    <definedName name="solver_mni" localSheetId="12" hidden="1">30</definedName>
    <definedName name="solver_mrt" localSheetId="12" hidden="1">0.075</definedName>
    <definedName name="solver_msl" localSheetId="12" hidden="1">2</definedName>
    <definedName name="solver_neg" localSheetId="12" hidden="1">1</definedName>
    <definedName name="solver_nod" localSheetId="12" hidden="1">2147483647</definedName>
    <definedName name="solver_num" localSheetId="12" hidden="1">0</definedName>
    <definedName name="solver_nwt" localSheetId="12" hidden="1">1</definedName>
    <definedName name="solver_opt" localSheetId="12" hidden="1">'Scenario B'!$C$7</definedName>
    <definedName name="solver_pre" localSheetId="12" hidden="1">0.000001</definedName>
    <definedName name="solver_rbv" localSheetId="12" hidden="1">1</definedName>
    <definedName name="solver_rlx" localSheetId="12" hidden="1">2</definedName>
    <definedName name="solver_rsd" localSheetId="12" hidden="1">0</definedName>
    <definedName name="solver_scl" localSheetId="12" hidden="1">1</definedName>
    <definedName name="solver_sho" localSheetId="12" hidden="1">2</definedName>
    <definedName name="solver_ssz" localSheetId="12" hidden="1">100</definedName>
    <definedName name="solver_tim" localSheetId="12" hidden="1">2147483647</definedName>
    <definedName name="solver_tol" localSheetId="12" hidden="1">0.01</definedName>
    <definedName name="solver_typ" localSheetId="12" hidden="1">3</definedName>
    <definedName name="solver_val" localSheetId="12" hidden="1">0.457197936</definedName>
    <definedName name="solver_ver" localSheetId="1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15" l="1"/>
  <c r="D41" i="15"/>
  <c r="E41" i="15"/>
  <c r="F41" i="15"/>
  <c r="G41" i="15"/>
  <c r="H41" i="15"/>
  <c r="I41" i="15"/>
  <c r="B41" i="15"/>
  <c r="C38" i="15"/>
  <c r="D38" i="15"/>
  <c r="E38" i="15"/>
  <c r="F38" i="15"/>
  <c r="G38" i="15"/>
  <c r="H38" i="15"/>
  <c r="I38" i="15"/>
  <c r="B38" i="15"/>
  <c r="B39" i="15" a="1"/>
  <c r="B39" i="15" s="1"/>
  <c r="B36" i="15" a="1"/>
  <c r="B36" i="15" s="1"/>
  <c r="B23" i="10"/>
  <c r="E29" i="15"/>
  <c r="E30" i="15"/>
  <c r="E31" i="15"/>
  <c r="E28" i="15"/>
  <c r="S6" i="10" a="1"/>
  <c r="S6" i="10" s="1"/>
  <c r="S2" i="10" a="1"/>
  <c r="S2" i="10" s="1"/>
  <c r="B40" i="15" a="1"/>
  <c r="B40" i="15" s="1"/>
  <c r="B37" i="15" a="1"/>
  <c r="B37" i="15" s="1"/>
  <c r="C29" i="15"/>
  <c r="C30" i="15"/>
  <c r="C31" i="15"/>
  <c r="C28" i="15"/>
  <c r="I20" i="15"/>
  <c r="C20" i="15"/>
  <c r="P3" i="15" a="1"/>
  <c r="P3" i="15" s="1"/>
  <c r="C3" i="15" a="1"/>
  <c r="C3" i="15" s="1"/>
  <c r="D30" i="15"/>
  <c r="D29" i="15"/>
  <c r="J20" i="15"/>
  <c r="H20" i="15"/>
  <c r="G20" i="15"/>
  <c r="F20" i="15"/>
  <c r="E20" i="15"/>
  <c r="D20" i="15"/>
  <c r="J19" i="15"/>
  <c r="I19" i="15"/>
  <c r="H19" i="15"/>
  <c r="G19" i="15"/>
  <c r="F19" i="15"/>
  <c r="E19" i="15"/>
  <c r="D19" i="15"/>
  <c r="C19" i="15"/>
  <c r="J18" i="15"/>
  <c r="J24" i="15" s="1"/>
  <c r="I18" i="15"/>
  <c r="I24" i="15" s="1"/>
  <c r="H18" i="15"/>
  <c r="H24" i="15" s="1"/>
  <c r="G18" i="15"/>
  <c r="G24" i="15" s="1"/>
  <c r="F18" i="15"/>
  <c r="F24" i="15" s="1"/>
  <c r="E18" i="15"/>
  <c r="E24" i="15" s="1"/>
  <c r="D18" i="15"/>
  <c r="C18" i="15"/>
  <c r="C17" i="15"/>
  <c r="J10" i="15"/>
  <c r="I10" i="15"/>
  <c r="H10" i="15"/>
  <c r="G10" i="15"/>
  <c r="F10" i="15"/>
  <c r="E10" i="15"/>
  <c r="D10" i="15"/>
  <c r="C7" i="14"/>
  <c r="C5" i="14"/>
  <c r="O9" i="8"/>
  <c r="O8" i="8"/>
  <c r="Q8" i="8" s="1"/>
  <c r="T6" i="8" s="1"/>
  <c r="M8" i="8"/>
  <c r="U5" i="8"/>
  <c r="U4" i="8"/>
  <c r="I2" i="4"/>
  <c r="J2" i="4"/>
  <c r="K2" i="4"/>
  <c r="L2" i="4"/>
  <c r="M2" i="4"/>
  <c r="I3" i="4"/>
  <c r="J3" i="4"/>
  <c r="K3" i="4"/>
  <c r="M3" i="4"/>
  <c r="I4" i="4"/>
  <c r="J4" i="4"/>
  <c r="K4" i="4"/>
  <c r="M4" i="4"/>
  <c r="I5" i="4"/>
  <c r="J5" i="4"/>
  <c r="K5" i="4"/>
  <c r="M5" i="4"/>
  <c r="I6" i="4"/>
  <c r="J6" i="4"/>
  <c r="K6" i="4"/>
  <c r="M6" i="4"/>
  <c r="I7" i="4"/>
  <c r="J7" i="4"/>
  <c r="K7" i="4"/>
  <c r="M7" i="4"/>
  <c r="I8" i="4"/>
  <c r="J8" i="4"/>
  <c r="K8" i="4"/>
  <c r="M8" i="4"/>
  <c r="I9" i="4"/>
  <c r="J9" i="4"/>
  <c r="K9" i="4"/>
  <c r="L2" i="4" a="1"/>
  <c r="M9" i="4"/>
  <c r="C10" i="15" l="1"/>
  <c r="C24" i="15"/>
  <c r="D24" i="15"/>
  <c r="J2" i="12"/>
  <c r="R3" i="4"/>
  <c r="R4" i="4"/>
  <c r="R5" i="4"/>
  <c r="R6" i="4"/>
  <c r="R7" i="4"/>
  <c r="R8" i="4"/>
  <c r="R9" i="4"/>
  <c r="R2" i="4"/>
  <c r="L13" i="6" a="1"/>
  <c r="L13" i="6" s="1"/>
  <c r="S7" i="3"/>
  <c r="S8" i="3"/>
  <c r="S9" i="3"/>
  <c r="S10" i="3"/>
  <c r="S11" i="3"/>
  <c r="S12" i="3"/>
  <c r="S13" i="3"/>
  <c r="S14" i="3"/>
  <c r="S15" i="3"/>
  <c r="S16" i="3"/>
  <c r="S17" i="3"/>
  <c r="S18" i="3"/>
  <c r="S19" i="3"/>
  <c r="S20" i="3"/>
  <c r="S21" i="3"/>
  <c r="S22" i="3"/>
  <c r="S23" i="3"/>
  <c r="S24" i="3"/>
  <c r="S25" i="3"/>
  <c r="K3" i="6"/>
  <c r="K4" i="6"/>
  <c r="K5" i="6"/>
  <c r="K6" i="6"/>
  <c r="K2" i="6"/>
  <c r="L3" i="6"/>
  <c r="M3" i="6"/>
  <c r="N3" i="6"/>
  <c r="O3" i="6"/>
  <c r="P3" i="6"/>
  <c r="Q3" i="6"/>
  <c r="R3" i="6"/>
  <c r="S3" i="6"/>
  <c r="L4" i="6"/>
  <c r="M4" i="6"/>
  <c r="N4" i="6"/>
  <c r="O4" i="6"/>
  <c r="P4" i="6"/>
  <c r="Q4" i="6"/>
  <c r="R4" i="6"/>
  <c r="S4" i="6"/>
  <c r="L5" i="6"/>
  <c r="M5" i="6"/>
  <c r="N5" i="6"/>
  <c r="O5" i="6"/>
  <c r="P5" i="6"/>
  <c r="Q5" i="6"/>
  <c r="R5" i="6"/>
  <c r="S5" i="6"/>
  <c r="L6" i="6"/>
  <c r="M6" i="6"/>
  <c r="N6" i="6"/>
  <c r="O6" i="6"/>
  <c r="P6" i="6"/>
  <c r="Q6" i="6"/>
  <c r="R6" i="6"/>
  <c r="S6" i="6"/>
  <c r="L7" i="6"/>
  <c r="M7" i="6"/>
  <c r="N7" i="6"/>
  <c r="O7" i="6"/>
  <c r="P7" i="6"/>
  <c r="Q7" i="6"/>
  <c r="R7" i="6"/>
  <c r="S7" i="6"/>
  <c r="L8" i="6"/>
  <c r="M8" i="6"/>
  <c r="N8" i="6"/>
  <c r="O8" i="6"/>
  <c r="P8" i="6"/>
  <c r="Q8" i="6"/>
  <c r="R8" i="6"/>
  <c r="S8" i="6"/>
  <c r="M2" i="6"/>
  <c r="N2" i="6"/>
  <c r="O2" i="6"/>
  <c r="P2" i="6"/>
  <c r="Q2" i="6"/>
  <c r="R2" i="6"/>
  <c r="S2" i="6"/>
  <c r="L2" i="6"/>
  <c r="O39" i="11"/>
  <c r="P39" i="11"/>
  <c r="Q39" i="11"/>
  <c r="R39" i="11"/>
  <c r="S39" i="11"/>
  <c r="T39" i="11"/>
  <c r="U39" i="11"/>
  <c r="V39" i="11"/>
  <c r="O40" i="11"/>
  <c r="P40" i="11"/>
  <c r="Q40" i="11"/>
  <c r="R40" i="11"/>
  <c r="S40" i="11"/>
  <c r="T40" i="11"/>
  <c r="U40" i="11"/>
  <c r="V40" i="11"/>
  <c r="O41" i="11"/>
  <c r="P41" i="11"/>
  <c r="Q41" i="11"/>
  <c r="R41" i="11"/>
  <c r="S41" i="11"/>
  <c r="T41" i="11"/>
  <c r="U41" i="11"/>
  <c r="V41" i="11"/>
  <c r="P38" i="11"/>
  <c r="Q38" i="11"/>
  <c r="R38" i="11"/>
  <c r="S38" i="11"/>
  <c r="T38" i="11"/>
  <c r="U38" i="11"/>
  <c r="V38" i="11"/>
  <c r="O38" i="11"/>
  <c r="O29" i="11"/>
  <c r="C84" i="12"/>
  <c r="D84" i="12"/>
  <c r="E84" i="12"/>
  <c r="F84" i="12"/>
  <c r="G84" i="12"/>
  <c r="H86" i="12"/>
  <c r="I86" i="12"/>
  <c r="C87" i="12"/>
  <c r="D87" i="12"/>
  <c r="E87" i="12"/>
  <c r="F87" i="12"/>
  <c r="G87" i="12"/>
  <c r="H87" i="12"/>
  <c r="I89" i="12"/>
  <c r="C90" i="12"/>
  <c r="D90" i="12"/>
  <c r="E90" i="12"/>
  <c r="F90" i="12"/>
  <c r="G90" i="12"/>
  <c r="H90" i="12"/>
  <c r="I90" i="12"/>
  <c r="C93" i="12"/>
  <c r="D93" i="12"/>
  <c r="E93" i="12"/>
  <c r="F93" i="12"/>
  <c r="G93" i="12"/>
  <c r="H93" i="12"/>
  <c r="I93" i="12"/>
  <c r="C94" i="12"/>
  <c r="D96" i="12"/>
  <c r="E96" i="12"/>
  <c r="F96" i="12"/>
  <c r="G96" i="12"/>
  <c r="H96" i="12"/>
  <c r="I96" i="12"/>
  <c r="C97" i="12"/>
  <c r="D97" i="12"/>
  <c r="E99" i="12"/>
  <c r="F99" i="12"/>
  <c r="G99" i="12"/>
  <c r="H99" i="12"/>
  <c r="I99" i="12"/>
  <c r="C100" i="12"/>
  <c r="D100" i="12"/>
  <c r="E100" i="12"/>
  <c r="F102" i="12"/>
  <c r="G102" i="12"/>
  <c r="H102" i="12"/>
  <c r="I102" i="12"/>
  <c r="C103" i="12"/>
  <c r="D103" i="12"/>
  <c r="E103" i="12"/>
  <c r="F103" i="12"/>
  <c r="F105" i="12"/>
  <c r="G105" i="12"/>
  <c r="H105" i="12"/>
  <c r="I105" i="12"/>
  <c r="C106" i="12"/>
  <c r="D106" i="12"/>
  <c r="E106" i="12"/>
  <c r="F106" i="12"/>
  <c r="G106" i="12"/>
  <c r="G108" i="12"/>
  <c r="H108" i="12"/>
  <c r="I108" i="12"/>
  <c r="C109" i="12"/>
  <c r="D109" i="12"/>
  <c r="E109" i="12"/>
  <c r="F109" i="12"/>
  <c r="G109" i="12"/>
  <c r="H109" i="12"/>
  <c r="H111" i="12"/>
  <c r="I111" i="12"/>
  <c r="C112" i="12"/>
  <c r="D112" i="12"/>
  <c r="E112" i="12"/>
  <c r="F112" i="12"/>
  <c r="G112" i="12"/>
  <c r="H112" i="12"/>
  <c r="I112" i="12"/>
  <c r="I114" i="12"/>
  <c r="B85" i="12"/>
  <c r="B86" i="12"/>
  <c r="B87" i="12"/>
  <c r="B88" i="12"/>
  <c r="B89" i="12"/>
  <c r="B90" i="12"/>
  <c r="B91" i="12"/>
  <c r="B92" i="12"/>
  <c r="B106" i="12"/>
  <c r="B107" i="12"/>
  <c r="B108" i="12"/>
  <c r="B109" i="12"/>
  <c r="B110" i="12"/>
  <c r="B111" i="12"/>
  <c r="B112" i="12"/>
  <c r="B113" i="12"/>
  <c r="B114"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B49" i="12" a="1"/>
  <c r="B49" i="12" s="1"/>
  <c r="J49" i="12" l="1"/>
  <c r="B84" i="12"/>
  <c r="B103" i="12"/>
  <c r="E111" i="12"/>
  <c r="C105" i="12"/>
  <c r="H98" i="12"/>
  <c r="G95" i="12"/>
  <c r="F92" i="12"/>
  <c r="D86" i="12"/>
  <c r="B102" i="12"/>
  <c r="C108" i="12"/>
  <c r="G98" i="12"/>
  <c r="D89" i="12"/>
  <c r="D114" i="12"/>
  <c r="I107" i="12"/>
  <c r="G101" i="12"/>
  <c r="E95" i="12"/>
  <c r="C89" i="12"/>
  <c r="C114" i="12"/>
  <c r="H107" i="12"/>
  <c r="F101" i="12"/>
  <c r="D95" i="12"/>
  <c r="I88" i="12"/>
  <c r="I113" i="12"/>
  <c r="H110" i="12"/>
  <c r="F104" i="12"/>
  <c r="E101" i="12"/>
  <c r="D98" i="12"/>
  <c r="I91" i="12"/>
  <c r="H88" i="12"/>
  <c r="G85" i="12"/>
  <c r="H113" i="12"/>
  <c r="F107" i="12"/>
  <c r="D101" i="12"/>
  <c r="I94" i="12"/>
  <c r="H91" i="12"/>
  <c r="F85" i="12"/>
  <c r="B97" i="12"/>
  <c r="G113" i="12"/>
  <c r="E107" i="12"/>
  <c r="C101" i="12"/>
  <c r="I97" i="12"/>
  <c r="H94" i="12"/>
  <c r="F88" i="12"/>
  <c r="E85" i="12"/>
  <c r="B96" i="12"/>
  <c r="F113" i="12"/>
  <c r="E110" i="12"/>
  <c r="D107" i="12"/>
  <c r="C104" i="12"/>
  <c r="I100" i="12"/>
  <c r="H97" i="12"/>
  <c r="G94" i="12"/>
  <c r="F91" i="12"/>
  <c r="E88" i="12"/>
  <c r="D85" i="12"/>
  <c r="B95" i="12"/>
  <c r="E113" i="12"/>
  <c r="D110" i="12"/>
  <c r="C107" i="12"/>
  <c r="I103" i="12"/>
  <c r="H100" i="12"/>
  <c r="G97" i="12"/>
  <c r="F94" i="12"/>
  <c r="E91" i="12"/>
  <c r="D88" i="12"/>
  <c r="C85" i="12"/>
  <c r="E102" i="12"/>
  <c r="D99" i="12"/>
  <c r="C96" i="12"/>
  <c r="I92" i="12"/>
  <c r="H89" i="12"/>
  <c r="G86" i="12"/>
  <c r="B105" i="12"/>
  <c r="H114" i="12"/>
  <c r="G111" i="12"/>
  <c r="F108" i="12"/>
  <c r="E105" i="12"/>
  <c r="D102" i="12"/>
  <c r="C99" i="12"/>
  <c r="I95" i="12"/>
  <c r="H92" i="12"/>
  <c r="G89" i="12"/>
  <c r="F86" i="12"/>
  <c r="B104" i="12"/>
  <c r="G114" i="12"/>
  <c r="F111" i="12"/>
  <c r="E108" i="12"/>
  <c r="D105" i="12"/>
  <c r="C102" i="12"/>
  <c r="I98" i="12"/>
  <c r="H95" i="12"/>
  <c r="G92" i="12"/>
  <c r="F89" i="12"/>
  <c r="E86" i="12"/>
  <c r="F114" i="12"/>
  <c r="D108" i="12"/>
  <c r="I101" i="12"/>
  <c r="E89" i="12"/>
  <c r="E114" i="12"/>
  <c r="D111" i="12"/>
  <c r="I104" i="12"/>
  <c r="H101" i="12"/>
  <c r="F95" i="12"/>
  <c r="E92" i="12"/>
  <c r="C86" i="12"/>
  <c r="B101" i="12"/>
  <c r="C111" i="12"/>
  <c r="H104" i="12"/>
  <c r="F98" i="12"/>
  <c r="D92" i="12"/>
  <c r="I85" i="12"/>
  <c r="B100" i="12"/>
  <c r="I110" i="12"/>
  <c r="G104" i="12"/>
  <c r="E98" i="12"/>
  <c r="C92" i="12"/>
  <c r="H85" i="12"/>
  <c r="B99" i="12"/>
  <c r="G107" i="12"/>
  <c r="C95" i="12"/>
  <c r="B98" i="12"/>
  <c r="G110" i="12"/>
  <c r="E104" i="12"/>
  <c r="C98" i="12"/>
  <c r="G88" i="12"/>
  <c r="F110" i="12"/>
  <c r="D104" i="12"/>
  <c r="G91" i="12"/>
  <c r="B94" i="12"/>
  <c r="D113" i="12"/>
  <c r="C110" i="12"/>
  <c r="I106" i="12"/>
  <c r="H103" i="12"/>
  <c r="G100" i="12"/>
  <c r="F97" i="12"/>
  <c r="E94" i="12"/>
  <c r="D91" i="12"/>
  <c r="C88" i="12"/>
  <c r="I84" i="12"/>
  <c r="B93" i="12"/>
  <c r="C113" i="12"/>
  <c r="I109" i="12"/>
  <c r="H106" i="12"/>
  <c r="G103" i="12"/>
  <c r="F100" i="12"/>
  <c r="E97" i="12"/>
  <c r="D94" i="12"/>
  <c r="C91" i="12"/>
  <c r="I87" i="12"/>
  <c r="H84" i="12"/>
  <c r="J78" i="12"/>
  <c r="J77" i="12"/>
  <c r="J76" i="12"/>
  <c r="J56" i="12"/>
  <c r="J55" i="12"/>
  <c r="J54" i="12"/>
  <c r="J53" i="12"/>
  <c r="J52" i="12"/>
  <c r="J51" i="12"/>
  <c r="J50" i="12"/>
  <c r="J73" i="12"/>
  <c r="J70" i="12"/>
  <c r="J71" i="12"/>
  <c r="J69" i="12"/>
  <c r="J66" i="12"/>
  <c r="J67" i="12"/>
  <c r="J65" i="12"/>
  <c r="J64" i="12"/>
  <c r="J72" i="12"/>
  <c r="J68" i="12"/>
  <c r="J63" i="12"/>
  <c r="J59" i="12"/>
  <c r="J58" i="12"/>
  <c r="J75" i="12"/>
  <c r="J74" i="12"/>
  <c r="J62" i="12"/>
  <c r="J61" i="12"/>
  <c r="J60" i="12"/>
  <c r="J79" i="12"/>
  <c r="J57" i="12"/>
  <c r="L33" i="13"/>
  <c r="M33" i="13"/>
  <c r="L31" i="13"/>
  <c r="M31" i="13"/>
  <c r="K31" i="13"/>
  <c r="L32" i="13"/>
  <c r="M32" i="13"/>
  <c r="K33" i="13"/>
  <c r="K32" i="13"/>
  <c r="J26" i="13"/>
  <c r="J29" i="13"/>
  <c r="J84" i="12" l="1"/>
  <c r="J94" i="12"/>
  <c r="J92" i="12"/>
  <c r="J87" i="12"/>
  <c r="J89" i="12"/>
  <c r="J114" i="12"/>
  <c r="J93" i="12"/>
  <c r="J103" i="12"/>
  <c r="J111" i="12"/>
  <c r="J104" i="12"/>
  <c r="J85" i="12"/>
  <c r="J98" i="12"/>
  <c r="J101" i="12"/>
  <c r="J95" i="12"/>
  <c r="J91" i="12"/>
  <c r="J110" i="12"/>
  <c r="J108" i="12"/>
  <c r="J100" i="12"/>
  <c r="J109" i="12"/>
  <c r="J88" i="12"/>
  <c r="J86" i="12"/>
  <c r="J106" i="12"/>
  <c r="J102" i="12"/>
  <c r="J96" i="12"/>
  <c r="J105" i="12"/>
  <c r="J99" i="12"/>
  <c r="J97" i="12"/>
  <c r="J107" i="12"/>
  <c r="J112" i="12"/>
  <c r="J90" i="12"/>
  <c r="J113" i="12"/>
  <c r="J30" i="13"/>
  <c r="J28" i="13"/>
  <c r="J27" i="13"/>
  <c r="J25" i="13"/>
  <c r="E98" i="8"/>
  <c r="E89" i="8"/>
  <c r="E82" i="8"/>
  <c r="E79" i="8"/>
  <c r="C63" i="8" l="1"/>
  <c r="E69" i="8"/>
  <c r="E54" i="8"/>
  <c r="E61" i="8"/>
  <c r="BF26" i="9"/>
  <c r="C32" i="11"/>
  <c r="D32" i="11"/>
  <c r="E32" i="11"/>
  <c r="F32" i="11"/>
  <c r="G32" i="11"/>
  <c r="H32" i="11"/>
  <c r="I32" i="11"/>
  <c r="B32" i="11"/>
  <c r="R49" i="5"/>
  <c r="AH47" i="9" s="1"/>
  <c r="Q49" i="5"/>
  <c r="AG47" i="9" s="1"/>
  <c r="Q48" i="5"/>
  <c r="AF46" i="9"/>
  <c r="AG46" i="9"/>
  <c r="AH46" i="9"/>
  <c r="AI46" i="9"/>
  <c r="AJ46" i="9"/>
  <c r="AK46" i="9"/>
  <c r="AL46" i="9"/>
  <c r="AM46" i="9"/>
  <c r="AF47" i="9"/>
  <c r="AI47" i="9"/>
  <c r="AJ47" i="9"/>
  <c r="AK47" i="9"/>
  <c r="AL47" i="9"/>
  <c r="AM47" i="9"/>
  <c r="AG45" i="9"/>
  <c r="AH45" i="9"/>
  <c r="AI45" i="9"/>
  <c r="AJ45" i="9"/>
  <c r="AK45" i="9"/>
  <c r="AL45" i="9"/>
  <c r="AM45" i="9"/>
  <c r="AF45" i="9"/>
  <c r="AG44" i="9"/>
  <c r="AH44" i="9"/>
  <c r="AI44" i="9"/>
  <c r="AJ44" i="9"/>
  <c r="AK44" i="9"/>
  <c r="AL44" i="9"/>
  <c r="AM44" i="9"/>
  <c r="AF44" i="9"/>
  <c r="AN44" i="9" l="1"/>
  <c r="AO46" i="9" s="1"/>
  <c r="AO47" i="9"/>
  <c r="L27" i="8"/>
  <c r="BU33" i="9"/>
  <c r="BU34" i="9"/>
  <c r="BU35" i="9"/>
  <c r="BU36" i="9"/>
  <c r="BU37" i="9"/>
  <c r="BU38" i="9"/>
  <c r="BU39" i="9"/>
  <c r="BU32" i="9"/>
  <c r="O2" i="10"/>
  <c r="O3" i="10"/>
  <c r="AO45" i="9" l="1"/>
  <c r="N3" i="10"/>
  <c r="N2" i="10"/>
  <c r="M2" i="10"/>
  <c r="M3" i="10"/>
  <c r="G3" i="10"/>
  <c r="G2" i="10"/>
  <c r="I2" i="10" l="1"/>
  <c r="I3" i="10"/>
  <c r="H2" i="10"/>
  <c r="H3" i="10"/>
  <c r="D25" i="13"/>
  <c r="J30" i="3" s="1"/>
  <c r="L9" i="3" s="1"/>
  <c r="D24" i="13"/>
  <c r="D26" i="13" s="1"/>
  <c r="E27" i="13"/>
  <c r="B8" i="10"/>
  <c r="B7" i="10"/>
  <c r="I30" i="3"/>
  <c r="B4" i="10" s="1"/>
  <c r="I28" i="3"/>
  <c r="B3" i="13"/>
  <c r="D3" i="13" s="1"/>
  <c r="C3" i="13"/>
  <c r="F3" i="13"/>
  <c r="H3" i="13"/>
  <c r="B4" i="13"/>
  <c r="D4" i="13" s="1"/>
  <c r="C4" i="13"/>
  <c r="F4" i="13"/>
  <c r="H4" i="13"/>
  <c r="B5" i="13"/>
  <c r="C5" i="13"/>
  <c r="D5" i="13"/>
  <c r="F5" i="13"/>
  <c r="H5" i="13"/>
  <c r="C6" i="13"/>
  <c r="F6" i="13"/>
  <c r="H6" i="13"/>
  <c r="B7" i="13"/>
  <c r="B8" i="13" s="1"/>
  <c r="C7" i="13"/>
  <c r="D7" i="13"/>
  <c r="F7" i="13"/>
  <c r="H7" i="13" s="1"/>
  <c r="C8" i="13"/>
  <c r="F8" i="13"/>
  <c r="H8" i="13" s="1"/>
  <c r="C9" i="13"/>
  <c r="F9" i="13"/>
  <c r="H9" i="13"/>
  <c r="C10" i="13"/>
  <c r="F10" i="13"/>
  <c r="H10" i="13"/>
  <c r="C11" i="13"/>
  <c r="B11" i="13" s="1"/>
  <c r="F11" i="13"/>
  <c r="H11" i="13"/>
  <c r="C12" i="13"/>
  <c r="B12" i="13" s="1"/>
  <c r="D12" i="13"/>
  <c r="F12" i="13"/>
  <c r="H12" i="13"/>
  <c r="C13" i="13"/>
  <c r="B13" i="13" s="1"/>
  <c r="D13" i="13"/>
  <c r="H13" i="13"/>
  <c r="C14" i="13"/>
  <c r="D14" i="13"/>
  <c r="H14" i="13"/>
  <c r="B15" i="13"/>
  <c r="C15" i="13"/>
  <c r="D15" i="13"/>
  <c r="B2" i="10"/>
  <c r="P37" i="5"/>
  <c r="Q37" i="5"/>
  <c r="R37" i="5"/>
  <c r="S37" i="5"/>
  <c r="T37" i="5"/>
  <c r="U37" i="5"/>
  <c r="V37" i="5"/>
  <c r="W37" i="5"/>
  <c r="P38" i="5"/>
  <c r="Q38" i="5"/>
  <c r="R38" i="5"/>
  <c r="S38" i="5"/>
  <c r="T38" i="5"/>
  <c r="U38" i="5"/>
  <c r="V38" i="5"/>
  <c r="W38" i="5"/>
  <c r="Q36" i="5"/>
  <c r="R36" i="5"/>
  <c r="S36" i="5"/>
  <c r="T36" i="5"/>
  <c r="U36" i="5"/>
  <c r="V36" i="5"/>
  <c r="W36" i="5"/>
  <c r="P36" i="5"/>
  <c r="W48" i="5"/>
  <c r="W49" i="5"/>
  <c r="W47" i="5"/>
  <c r="S48" i="5"/>
  <c r="S49" i="5"/>
  <c r="S47" i="5"/>
  <c r="T48" i="5"/>
  <c r="T49" i="5"/>
  <c r="T47" i="5"/>
  <c r="Q50" i="5"/>
  <c r="R50" i="5"/>
  <c r="S50" i="5"/>
  <c r="T50" i="5"/>
  <c r="U50" i="5"/>
  <c r="V50" i="5"/>
  <c r="W50" i="5"/>
  <c r="P50" i="5"/>
  <c r="U48" i="5"/>
  <c r="U49" i="5"/>
  <c r="U47" i="5"/>
  <c r="Q46" i="5"/>
  <c r="R46" i="5"/>
  <c r="S46" i="5"/>
  <c r="T46" i="5"/>
  <c r="U46" i="5"/>
  <c r="V46" i="5"/>
  <c r="W46" i="5"/>
  <c r="P46" i="5"/>
  <c r="Q47" i="5"/>
  <c r="C38" i="11"/>
  <c r="M36" i="5" l="1"/>
  <c r="J29" i="3"/>
  <c r="M37" i="5"/>
  <c r="M38" i="5"/>
  <c r="M39" i="5" s="1"/>
  <c r="L48" i="5" s="1"/>
  <c r="E28" i="13"/>
  <c r="D28" i="13" s="1"/>
  <c r="D27" i="13"/>
  <c r="B12" i="10"/>
  <c r="D8" i="13"/>
  <c r="B9" i="13"/>
  <c r="B6" i="13"/>
  <c r="D6" i="13" s="1"/>
  <c r="B16" i="13"/>
  <c r="G13" i="13"/>
  <c r="G14" i="13" s="1"/>
  <c r="G15" i="13" s="1"/>
  <c r="F15" i="13" s="1"/>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B1" i="12" a="1"/>
  <c r="B1" i="12" s="1"/>
  <c r="E15" i="3"/>
  <c r="E14" i="3"/>
  <c r="E13" i="3"/>
  <c r="D39" i="9"/>
  <c r="D42" i="9"/>
  <c r="D43" i="9"/>
  <c r="D44" i="9"/>
  <c r="D45" i="9"/>
  <c r="D46" i="9"/>
  <c r="D47" i="9"/>
  <c r="D48" i="9"/>
  <c r="D49" i="9"/>
  <c r="D50" i="9"/>
  <c r="D52" i="9"/>
  <c r="D53" i="9"/>
  <c r="D57" i="9"/>
  <c r="C38" i="9"/>
  <c r="C39" i="9"/>
  <c r="C40" i="9"/>
  <c r="C41" i="9"/>
  <c r="C42" i="9"/>
  <c r="C43" i="9"/>
  <c r="C44" i="9"/>
  <c r="C45" i="9"/>
  <c r="C46" i="9"/>
  <c r="C47" i="9"/>
  <c r="C48" i="9"/>
  <c r="C49" i="9"/>
  <c r="C50" i="9"/>
  <c r="C51" i="9"/>
  <c r="C52" i="9"/>
  <c r="C53" i="9"/>
  <c r="C54" i="9"/>
  <c r="C55" i="9"/>
  <c r="C56" i="9"/>
  <c r="C57" i="9"/>
  <c r="C58" i="9"/>
  <c r="D37" i="9"/>
  <c r="C37" i="9"/>
  <c r="A57" i="9"/>
  <c r="A58" i="9"/>
  <c r="A53" i="9"/>
  <c r="A54" i="9"/>
  <c r="A55" i="9"/>
  <c r="A56" i="9"/>
  <c r="A38" i="9"/>
  <c r="A39" i="9"/>
  <c r="A40" i="9"/>
  <c r="A41" i="9"/>
  <c r="A42" i="9"/>
  <c r="A43" i="9"/>
  <c r="A44" i="9"/>
  <c r="A45" i="9"/>
  <c r="A46" i="9"/>
  <c r="A47" i="9"/>
  <c r="A48" i="9"/>
  <c r="A49" i="9"/>
  <c r="A50" i="9"/>
  <c r="A51" i="9"/>
  <c r="A52" i="9"/>
  <c r="A37" i="9"/>
  <c r="AN37" i="9"/>
  <c r="AF37" i="9" a="1"/>
  <c r="AF37" i="9" s="1"/>
  <c r="AO37" i="9" s="1"/>
  <c r="AN36" i="9"/>
  <c r="AF36" i="9" a="1"/>
  <c r="AF36" i="9" s="1"/>
  <c r="AO36" i="9" s="1"/>
  <c r="AM34" i="9"/>
  <c r="AL34" i="9"/>
  <c r="AK34" i="9"/>
  <c r="AJ34" i="9"/>
  <c r="AI34" i="9"/>
  <c r="AH34" i="9"/>
  <c r="AG34" i="9"/>
  <c r="AF34" i="9"/>
  <c r="AM33" i="9"/>
  <c r="AL33" i="9"/>
  <c r="AK33" i="9"/>
  <c r="AJ33" i="9"/>
  <c r="AI33" i="9"/>
  <c r="AH33" i="9"/>
  <c r="AG33" i="9"/>
  <c r="AF33" i="9"/>
  <c r="BE31" i="9"/>
  <c r="BU26" i="9"/>
  <c r="AU25" i="9"/>
  <c r="AV25" i="9" s="1"/>
  <c r="BU25" i="9"/>
  <c r="AU24" i="9"/>
  <c r="AV24" i="9" s="1"/>
  <c r="X24" i="9"/>
  <c r="BV24" i="9"/>
  <c r="BU24" i="9"/>
  <c r="AU23" i="9"/>
  <c r="AV23" i="9" s="1"/>
  <c r="Z23" i="9"/>
  <c r="Y23" i="9"/>
  <c r="W23" i="9"/>
  <c r="V23" i="9"/>
  <c r="U23" i="9"/>
  <c r="T23" i="9"/>
  <c r="S23" i="9"/>
  <c r="R23" i="9"/>
  <c r="Q23" i="9"/>
  <c r="P23" i="9"/>
  <c r="O23" i="9"/>
  <c r="N23" i="9"/>
  <c r="M23" i="9"/>
  <c r="L23" i="9"/>
  <c r="K23" i="9"/>
  <c r="J23" i="9"/>
  <c r="I23" i="9"/>
  <c r="H23" i="9"/>
  <c r="G23" i="9"/>
  <c r="D23" i="9"/>
  <c r="C23" i="9"/>
  <c r="B23" i="9"/>
  <c r="BV23" i="9"/>
  <c r="BU23" i="9"/>
  <c r="Z22" i="9"/>
  <c r="Y22" i="9"/>
  <c r="W22" i="9"/>
  <c r="V22" i="9"/>
  <c r="U22" i="9"/>
  <c r="T22" i="9"/>
  <c r="S22" i="9"/>
  <c r="R22" i="9"/>
  <c r="Q22" i="9"/>
  <c r="P22" i="9"/>
  <c r="O22" i="9"/>
  <c r="N22" i="9"/>
  <c r="M22" i="9"/>
  <c r="L22" i="9"/>
  <c r="K22" i="9"/>
  <c r="J22" i="9"/>
  <c r="I22" i="9"/>
  <c r="H22" i="9"/>
  <c r="G22" i="9"/>
  <c r="D22" i="9"/>
  <c r="C22" i="9"/>
  <c r="B22" i="9"/>
  <c r="BV22" i="9"/>
  <c r="BU22" i="9"/>
  <c r="Z21" i="9"/>
  <c r="Y21" i="9"/>
  <c r="W21" i="9"/>
  <c r="V21" i="9"/>
  <c r="U21" i="9"/>
  <c r="T21" i="9"/>
  <c r="S21" i="9"/>
  <c r="R21" i="9"/>
  <c r="Q21" i="9"/>
  <c r="P21" i="9"/>
  <c r="O21" i="9"/>
  <c r="N21" i="9"/>
  <c r="M21" i="9"/>
  <c r="L21" i="9"/>
  <c r="K21" i="9"/>
  <c r="J21" i="9"/>
  <c r="I21" i="9"/>
  <c r="H21" i="9"/>
  <c r="G21" i="9"/>
  <c r="D21" i="9"/>
  <c r="C21" i="9"/>
  <c r="B21" i="9"/>
  <c r="BV21" i="9"/>
  <c r="BU21" i="9"/>
  <c r="Z20" i="9"/>
  <c r="Y20" i="9"/>
  <c r="W20" i="9"/>
  <c r="V20" i="9"/>
  <c r="U20" i="9"/>
  <c r="T20" i="9"/>
  <c r="S20" i="9"/>
  <c r="R20" i="9"/>
  <c r="Q20" i="9"/>
  <c r="P20" i="9"/>
  <c r="O20" i="9"/>
  <c r="N20" i="9"/>
  <c r="M20" i="9"/>
  <c r="L20" i="9"/>
  <c r="K20" i="9"/>
  <c r="J20" i="9"/>
  <c r="I20" i="9"/>
  <c r="H20" i="9"/>
  <c r="G20" i="9"/>
  <c r="D20" i="9"/>
  <c r="C20" i="9"/>
  <c r="B20" i="9"/>
  <c r="BV20" i="9"/>
  <c r="BU20" i="9"/>
  <c r="AU19" i="9"/>
  <c r="AV19" i="9" s="1"/>
  <c r="Z19" i="9"/>
  <c r="Y19" i="9"/>
  <c r="W19" i="9"/>
  <c r="V19" i="9"/>
  <c r="U19" i="9"/>
  <c r="T19" i="9"/>
  <c r="S19" i="9"/>
  <c r="R19" i="9"/>
  <c r="Q19" i="9"/>
  <c r="P19" i="9"/>
  <c r="O19" i="9"/>
  <c r="N19" i="9"/>
  <c r="M19" i="9"/>
  <c r="L19" i="9"/>
  <c r="K19" i="9"/>
  <c r="J19" i="9"/>
  <c r="I19" i="9"/>
  <c r="H19" i="9"/>
  <c r="G19" i="9"/>
  <c r="D19" i="9"/>
  <c r="C19" i="9"/>
  <c r="B19" i="9"/>
  <c r="BV19" i="9"/>
  <c r="BU19" i="9"/>
  <c r="AE18" i="9"/>
  <c r="Z18" i="9"/>
  <c r="Y18" i="9"/>
  <c r="W18" i="9"/>
  <c r="V18" i="9"/>
  <c r="U18" i="9"/>
  <c r="T18" i="9"/>
  <c r="S18" i="9"/>
  <c r="R18" i="9"/>
  <c r="Q18" i="9"/>
  <c r="P18" i="9"/>
  <c r="O18" i="9"/>
  <c r="N18" i="9"/>
  <c r="M18" i="9"/>
  <c r="L18" i="9"/>
  <c r="K18" i="9"/>
  <c r="J18" i="9"/>
  <c r="I18" i="9"/>
  <c r="H18" i="9"/>
  <c r="G18" i="9"/>
  <c r="D18" i="9"/>
  <c r="C18" i="9"/>
  <c r="B18" i="9"/>
  <c r="AE17" i="9"/>
  <c r="Z17" i="9"/>
  <c r="Y17" i="9"/>
  <c r="W17" i="9"/>
  <c r="V17" i="9"/>
  <c r="U17" i="9"/>
  <c r="T17" i="9"/>
  <c r="S17" i="9"/>
  <c r="R17" i="9"/>
  <c r="Q17" i="9"/>
  <c r="P17" i="9"/>
  <c r="O17" i="9"/>
  <c r="N17" i="9"/>
  <c r="M17" i="9"/>
  <c r="L17" i="9"/>
  <c r="K17" i="9"/>
  <c r="J17" i="9"/>
  <c r="I17" i="9"/>
  <c r="H17" i="9"/>
  <c r="G17" i="9"/>
  <c r="D17" i="9"/>
  <c r="C17" i="9"/>
  <c r="B17" i="9"/>
  <c r="AE16" i="9"/>
  <c r="Z16" i="9"/>
  <c r="Y16" i="9"/>
  <c r="W16" i="9"/>
  <c r="V16" i="9"/>
  <c r="U16" i="9"/>
  <c r="T16" i="9"/>
  <c r="S16" i="9"/>
  <c r="R16" i="9"/>
  <c r="Q16" i="9"/>
  <c r="P16" i="9"/>
  <c r="O16" i="9"/>
  <c r="N16" i="9"/>
  <c r="M16" i="9"/>
  <c r="L16" i="9"/>
  <c r="K16" i="9"/>
  <c r="J16" i="9"/>
  <c r="I16" i="9"/>
  <c r="H16" i="9"/>
  <c r="G16" i="9"/>
  <c r="D16" i="9"/>
  <c r="C16" i="9"/>
  <c r="B16" i="9"/>
  <c r="AE15" i="9"/>
  <c r="X15" i="9"/>
  <c r="O15" i="9"/>
  <c r="N15" i="9"/>
  <c r="M15" i="9"/>
  <c r="L15" i="9"/>
  <c r="K15" i="9"/>
  <c r="J15" i="9"/>
  <c r="I15" i="9"/>
  <c r="H15" i="9"/>
  <c r="G15" i="9"/>
  <c r="F15" i="9"/>
  <c r="E15" i="9"/>
  <c r="D15" i="9"/>
  <c r="C15" i="9"/>
  <c r="B15" i="9"/>
  <c r="AN14" i="9"/>
  <c r="AM14" i="9"/>
  <c r="AL14" i="9"/>
  <c r="AK14" i="9"/>
  <c r="AJ14" i="9"/>
  <c r="AI14" i="9"/>
  <c r="AH14" i="9"/>
  <c r="AG14" i="9"/>
  <c r="AF14" i="9"/>
  <c r="X14" i="9"/>
  <c r="O14" i="9"/>
  <c r="N14" i="9"/>
  <c r="M14" i="9"/>
  <c r="L14" i="9"/>
  <c r="K14" i="9"/>
  <c r="J14" i="9"/>
  <c r="I14" i="9"/>
  <c r="H14" i="9"/>
  <c r="G14" i="9"/>
  <c r="F14" i="9"/>
  <c r="E14" i="9"/>
  <c r="D14" i="9"/>
  <c r="C14" i="9"/>
  <c r="B14" i="9"/>
  <c r="X13" i="9"/>
  <c r="O13" i="9"/>
  <c r="N13" i="9"/>
  <c r="M13" i="9"/>
  <c r="L13" i="9"/>
  <c r="K13" i="9"/>
  <c r="J13" i="9"/>
  <c r="I13" i="9"/>
  <c r="H13" i="9"/>
  <c r="G13" i="9"/>
  <c r="F13" i="9"/>
  <c r="E13" i="9"/>
  <c r="D13" i="9"/>
  <c r="C13" i="9"/>
  <c r="B13" i="9"/>
  <c r="Z12" i="9"/>
  <c r="X12" i="9"/>
  <c r="O12" i="9"/>
  <c r="N12" i="9"/>
  <c r="M12" i="9"/>
  <c r="L12" i="9"/>
  <c r="K12" i="9"/>
  <c r="J12" i="9"/>
  <c r="I12" i="9"/>
  <c r="H12" i="9"/>
  <c r="G12" i="9"/>
  <c r="D12" i="9"/>
  <c r="C12" i="9"/>
  <c r="B12" i="9"/>
  <c r="Z11" i="9"/>
  <c r="X11" i="9"/>
  <c r="O11" i="9"/>
  <c r="N11" i="9"/>
  <c r="M11" i="9"/>
  <c r="L11" i="9"/>
  <c r="K11" i="9"/>
  <c r="J11" i="9"/>
  <c r="I11" i="9"/>
  <c r="H11" i="9"/>
  <c r="G11" i="9"/>
  <c r="D11" i="9"/>
  <c r="C11" i="9"/>
  <c r="B11" i="9"/>
  <c r="Z10" i="9"/>
  <c r="X10" i="9"/>
  <c r="O10" i="9"/>
  <c r="N10" i="9"/>
  <c r="M10" i="9"/>
  <c r="L10" i="9"/>
  <c r="K10" i="9"/>
  <c r="J10" i="9"/>
  <c r="I10" i="9"/>
  <c r="H10" i="9"/>
  <c r="G10" i="9"/>
  <c r="D10" i="9"/>
  <c r="C10" i="9"/>
  <c r="B10" i="9"/>
  <c r="Z9" i="9"/>
  <c r="X9" i="9"/>
  <c r="O9" i="9"/>
  <c r="N9" i="9"/>
  <c r="M9" i="9"/>
  <c r="L9" i="9"/>
  <c r="K9" i="9"/>
  <c r="J9" i="9"/>
  <c r="I9" i="9"/>
  <c r="H9" i="9"/>
  <c r="G9" i="9"/>
  <c r="D9" i="9"/>
  <c r="C9" i="9"/>
  <c r="B9" i="9"/>
  <c r="Z8" i="9"/>
  <c r="X8" i="9"/>
  <c r="W8" i="9"/>
  <c r="V8" i="9"/>
  <c r="U8" i="9"/>
  <c r="T8" i="9"/>
  <c r="S8" i="9"/>
  <c r="R8" i="9"/>
  <c r="Q8" i="9"/>
  <c r="P8" i="9"/>
  <c r="L8" i="9"/>
  <c r="K8" i="9"/>
  <c r="J8" i="9"/>
  <c r="I8" i="9"/>
  <c r="H8" i="9"/>
  <c r="G8" i="9"/>
  <c r="F8" i="9"/>
  <c r="E8" i="9"/>
  <c r="D8" i="9"/>
  <c r="C8" i="9"/>
  <c r="B8" i="9"/>
  <c r="Z7" i="9"/>
  <c r="X7" i="9"/>
  <c r="W7" i="9"/>
  <c r="V7" i="9"/>
  <c r="U7" i="9"/>
  <c r="T7" i="9"/>
  <c r="S7" i="9"/>
  <c r="R7" i="9"/>
  <c r="Q7" i="9"/>
  <c r="P7" i="9"/>
  <c r="O7" i="9"/>
  <c r="N7" i="9"/>
  <c r="M7" i="9"/>
  <c r="H7" i="9"/>
  <c r="G7" i="9"/>
  <c r="F7" i="9"/>
  <c r="E7" i="9"/>
  <c r="D7" i="9"/>
  <c r="C7" i="9"/>
  <c r="B7" i="9"/>
  <c r="Y6" i="9"/>
  <c r="X6" i="9"/>
  <c r="W6" i="9"/>
  <c r="V6" i="9"/>
  <c r="U6" i="9"/>
  <c r="T6" i="9"/>
  <c r="S6" i="9"/>
  <c r="R6" i="9"/>
  <c r="Q6" i="9"/>
  <c r="P6" i="9"/>
  <c r="O6" i="9"/>
  <c r="N6" i="9"/>
  <c r="M6" i="9"/>
  <c r="L6" i="9"/>
  <c r="K6" i="9"/>
  <c r="J6" i="9"/>
  <c r="I6" i="9"/>
  <c r="G6" i="9"/>
  <c r="F6" i="9"/>
  <c r="E6" i="9"/>
  <c r="D6" i="9"/>
  <c r="C6" i="9"/>
  <c r="B6" i="9"/>
  <c r="BF5" i="9"/>
  <c r="AX5" i="9"/>
  <c r="AI5" i="9"/>
  <c r="AG5" i="9"/>
  <c r="Y5" i="9"/>
  <c r="X5" i="9"/>
  <c r="W5" i="9"/>
  <c r="V5" i="9"/>
  <c r="U5" i="9"/>
  <c r="T5" i="9"/>
  <c r="S5" i="9"/>
  <c r="R5" i="9"/>
  <c r="Q5" i="9"/>
  <c r="P5" i="9"/>
  <c r="O5" i="9"/>
  <c r="N5" i="9"/>
  <c r="M5" i="9"/>
  <c r="L5" i="9"/>
  <c r="K5" i="9"/>
  <c r="J5" i="9"/>
  <c r="I5" i="9"/>
  <c r="H5" i="9"/>
  <c r="F5" i="9"/>
  <c r="E5" i="9"/>
  <c r="D5" i="9"/>
  <c r="C5" i="9"/>
  <c r="B5" i="9"/>
  <c r="BF4" i="9"/>
  <c r="AX4" i="9"/>
  <c r="AK4" i="9"/>
  <c r="AI4" i="9"/>
  <c r="Y4" i="9"/>
  <c r="X4" i="9"/>
  <c r="W4" i="9"/>
  <c r="V4" i="9"/>
  <c r="U4" i="9"/>
  <c r="T4" i="9"/>
  <c r="S4" i="9"/>
  <c r="R4" i="9"/>
  <c r="Q4" i="9"/>
  <c r="P4" i="9"/>
  <c r="O4" i="9"/>
  <c r="N4" i="9"/>
  <c r="M4" i="9"/>
  <c r="L4" i="9"/>
  <c r="K4" i="9"/>
  <c r="J4" i="9"/>
  <c r="I4" i="9"/>
  <c r="D4" i="9"/>
  <c r="C4" i="9"/>
  <c r="B4" i="9"/>
  <c r="AX3" i="9"/>
  <c r="AI3" i="9"/>
  <c r="AG3" i="9"/>
  <c r="Z3" i="9"/>
  <c r="X3" i="9"/>
  <c r="W3" i="9"/>
  <c r="V3" i="9"/>
  <c r="U3" i="9"/>
  <c r="T3" i="9"/>
  <c r="S3" i="9"/>
  <c r="R3" i="9"/>
  <c r="Q3" i="9"/>
  <c r="P3" i="9"/>
  <c r="O3" i="9"/>
  <c r="N3" i="9"/>
  <c r="M3" i="9"/>
  <c r="L3" i="9"/>
  <c r="K3" i="9"/>
  <c r="J3" i="9"/>
  <c r="I3" i="9"/>
  <c r="H3" i="9"/>
  <c r="G3" i="9"/>
  <c r="D3" i="9"/>
  <c r="C3" i="9"/>
  <c r="B3" i="9"/>
  <c r="AX2" i="9"/>
  <c r="AI2" i="9"/>
  <c r="AG2" i="9"/>
  <c r="X2" i="9"/>
  <c r="W2" i="9"/>
  <c r="V2" i="9"/>
  <c r="U2" i="9"/>
  <c r="T2" i="9"/>
  <c r="S2" i="9"/>
  <c r="R2" i="9"/>
  <c r="Q2" i="9"/>
  <c r="P2" i="9"/>
  <c r="O2" i="9"/>
  <c r="N2" i="9"/>
  <c r="M2" i="9"/>
  <c r="L2" i="9"/>
  <c r="K2" i="9"/>
  <c r="J2" i="9"/>
  <c r="I2" i="9"/>
  <c r="H2" i="9"/>
  <c r="G2" i="9"/>
  <c r="F2" i="9"/>
  <c r="E2" i="9"/>
  <c r="C2" i="9"/>
  <c r="B2" i="9"/>
  <c r="E8" i="6"/>
  <c r="K8" i="6" s="1"/>
  <c r="E7" i="6"/>
  <c r="K7" i="6" s="1"/>
  <c r="AA23" i="1"/>
  <c r="AA51" i="1" s="1"/>
  <c r="Z23" i="1"/>
  <c r="Z51" i="1" s="1"/>
  <c r="Y23" i="1"/>
  <c r="Y51" i="1" s="1"/>
  <c r="AA22" i="1"/>
  <c r="AA50" i="1" s="1"/>
  <c r="Z22" i="1"/>
  <c r="Z50" i="1" s="1"/>
  <c r="Y22" i="1"/>
  <c r="Y50" i="1" s="1"/>
  <c r="AA21" i="1"/>
  <c r="AA49" i="1" s="1"/>
  <c r="Z21" i="1"/>
  <c r="Z49" i="1" s="1"/>
  <c r="Y21" i="1"/>
  <c r="Y49" i="1" s="1"/>
  <c r="AA20" i="1"/>
  <c r="AA48" i="1" s="1"/>
  <c r="Z20" i="1"/>
  <c r="Z48" i="1" s="1"/>
  <c r="Y20" i="1"/>
  <c r="Y48" i="1" s="1"/>
  <c r="AA19" i="1"/>
  <c r="AA47" i="1" s="1"/>
  <c r="Z19" i="1"/>
  <c r="Z47" i="1" s="1"/>
  <c r="Y19" i="1"/>
  <c r="Y47" i="1" s="1"/>
  <c r="AA18" i="1"/>
  <c r="AA46" i="1" s="1"/>
  <c r="Z18" i="1"/>
  <c r="Z46" i="1" s="1"/>
  <c r="Y18" i="1"/>
  <c r="Y46" i="1" s="1"/>
  <c r="AA17" i="1"/>
  <c r="AA45" i="1" s="1"/>
  <c r="Z17" i="1"/>
  <c r="Z45" i="1" s="1"/>
  <c r="Y17" i="1"/>
  <c r="Y45" i="1" s="1"/>
  <c r="AA16" i="1"/>
  <c r="AA44" i="1" s="1"/>
  <c r="Z16" i="1"/>
  <c r="Z44" i="1" s="1"/>
  <c r="Y16" i="1"/>
  <c r="Y44" i="1" s="1"/>
  <c r="Z15" i="1"/>
  <c r="Z43" i="1" s="1"/>
  <c r="X15" i="1"/>
  <c r="X43" i="1" s="1"/>
  <c r="Z14" i="1"/>
  <c r="Z42" i="1" s="1"/>
  <c r="X14" i="1"/>
  <c r="X42" i="1" s="1"/>
  <c r="Z13" i="1"/>
  <c r="Z41" i="1" s="1"/>
  <c r="X13" i="1"/>
  <c r="X41" i="1" s="1"/>
  <c r="AA12" i="1"/>
  <c r="AA40" i="1" s="1"/>
  <c r="Z12" i="1"/>
  <c r="Z40" i="1" s="1"/>
  <c r="X12" i="1"/>
  <c r="X40" i="1" s="1"/>
  <c r="AA11" i="1"/>
  <c r="AA39" i="1" s="1"/>
  <c r="Z11" i="1"/>
  <c r="Z39" i="1" s="1"/>
  <c r="X11" i="1"/>
  <c r="X39" i="1" s="1"/>
  <c r="AA10" i="1"/>
  <c r="AA38" i="1" s="1"/>
  <c r="Z10" i="1"/>
  <c r="Z38" i="1" s="1"/>
  <c r="X10" i="1"/>
  <c r="X38" i="1" s="1"/>
  <c r="AA9" i="1"/>
  <c r="AA37" i="1" s="1"/>
  <c r="Z9" i="1"/>
  <c r="Z37" i="1" s="1"/>
  <c r="X9" i="1"/>
  <c r="X37" i="1" s="1"/>
  <c r="AA8" i="1"/>
  <c r="AA36" i="1" s="1"/>
  <c r="Y8" i="1"/>
  <c r="Y36" i="1" s="1"/>
  <c r="X8" i="1"/>
  <c r="X36" i="1" s="1"/>
  <c r="AA7" i="1"/>
  <c r="AA35" i="1" s="1"/>
  <c r="Y7" i="1"/>
  <c r="Y35" i="1" s="1"/>
  <c r="X7" i="1"/>
  <c r="X35" i="1" s="1"/>
  <c r="Z6" i="1"/>
  <c r="Z34" i="1" s="1"/>
  <c r="Y6" i="1"/>
  <c r="Y34" i="1" s="1"/>
  <c r="X6" i="1"/>
  <c r="X34" i="1" s="1"/>
  <c r="Z5" i="1"/>
  <c r="Z33" i="1" s="1"/>
  <c r="Y5" i="1"/>
  <c r="Y33" i="1" s="1"/>
  <c r="X5" i="1"/>
  <c r="X33" i="1" s="1"/>
  <c r="Z4" i="1"/>
  <c r="Z32" i="1" s="1"/>
  <c r="Y4" i="1"/>
  <c r="Y32" i="1" s="1"/>
  <c r="X4" i="1"/>
  <c r="X32" i="1" s="1"/>
  <c r="AA3" i="1"/>
  <c r="AA31" i="1" s="1"/>
  <c r="Y3" i="1"/>
  <c r="Y31" i="1" s="1"/>
  <c r="X3" i="1"/>
  <c r="X31" i="1" s="1"/>
  <c r="AG2" i="1"/>
  <c r="AG2" i="1" a="1"/>
  <c r="Y2" i="1"/>
  <c r="Y30" i="1" s="1"/>
  <c r="X2" i="1"/>
  <c r="X30" i="1" s="1"/>
  <c r="C15" i="10"/>
  <c r="B13" i="10"/>
  <c r="B11" i="10"/>
  <c r="B10" i="10"/>
  <c r="B9" i="10"/>
  <c r="B6" i="10"/>
  <c r="B5" i="10"/>
  <c r="I46" i="3"/>
  <c r="I45" i="3"/>
  <c r="I36" i="3"/>
  <c r="I34" i="3"/>
  <c r="L24" i="3"/>
  <c r="L23" i="3"/>
  <c r="K23" i="3"/>
  <c r="F23" i="3"/>
  <c r="L22" i="3"/>
  <c r="K22" i="3"/>
  <c r="F22" i="3"/>
  <c r="L21" i="3"/>
  <c r="K21" i="3"/>
  <c r="F21" i="3"/>
  <c r="L20" i="3"/>
  <c r="K20" i="3"/>
  <c r="F20" i="3"/>
  <c r="L19" i="3"/>
  <c r="K19" i="3"/>
  <c r="F19" i="3"/>
  <c r="L18" i="3"/>
  <c r="F18" i="3"/>
  <c r="L17" i="3"/>
  <c r="I17" i="3"/>
  <c r="J17" i="3" s="1"/>
  <c r="F17" i="3"/>
  <c r="L16" i="3"/>
  <c r="K16" i="3"/>
  <c r="L15" i="3"/>
  <c r="K15" i="3"/>
  <c r="G15" i="3"/>
  <c r="F15" i="3"/>
  <c r="L14" i="3"/>
  <c r="K14" i="3"/>
  <c r="I14" i="3"/>
  <c r="G14" i="3"/>
  <c r="F14" i="3"/>
  <c r="L13" i="3"/>
  <c r="K13" i="3"/>
  <c r="I13" i="3"/>
  <c r="I15" i="3" s="1"/>
  <c r="Q12" i="3"/>
  <c r="AU5" i="9" s="1"/>
  <c r="L12" i="3"/>
  <c r="J12" i="3"/>
  <c r="K12" i="3" s="1"/>
  <c r="G12" i="3"/>
  <c r="F12" i="3"/>
  <c r="E12" i="3"/>
  <c r="Q11" i="3"/>
  <c r="AU4" i="9" s="1"/>
  <c r="L11" i="3"/>
  <c r="I11" i="3"/>
  <c r="G11" i="3"/>
  <c r="F11" i="3"/>
  <c r="E11" i="3"/>
  <c r="Q10" i="3"/>
  <c r="AU3" i="9" s="1"/>
  <c r="L10" i="3"/>
  <c r="J10" i="3"/>
  <c r="J11" i="3" s="1"/>
  <c r="K11" i="3" s="1"/>
  <c r="G10" i="3"/>
  <c r="F10" i="3"/>
  <c r="Q9" i="3"/>
  <c r="AU2" i="9" s="1"/>
  <c r="K9" i="3"/>
  <c r="I9" i="3"/>
  <c r="I12" i="3" s="1"/>
  <c r="Q8" i="3"/>
  <c r="B43" i="9" s="1"/>
  <c r="L8" i="3"/>
  <c r="J8" i="3"/>
  <c r="K8" i="3" s="1"/>
  <c r="G8" i="3"/>
  <c r="Q7" i="3"/>
  <c r="E7" i="3" s="1"/>
  <c r="L7" i="3"/>
  <c r="J7" i="3"/>
  <c r="K7" i="3" s="1"/>
  <c r="G7" i="3"/>
  <c r="L6" i="3"/>
  <c r="K6" i="3"/>
  <c r="G6" i="3"/>
  <c r="L5" i="3"/>
  <c r="K5" i="3"/>
  <c r="K4" i="3"/>
  <c r="L3" i="3"/>
  <c r="K3" i="3"/>
  <c r="L2" i="3"/>
  <c r="K2" i="3"/>
  <c r="O10" i="4"/>
  <c r="N10" i="4"/>
  <c r="H10" i="4"/>
  <c r="M7" i="8" s="1"/>
  <c r="G7" i="4"/>
  <c r="BT24" i="9" s="1"/>
  <c r="G6" i="4"/>
  <c r="BT23" i="9" s="1"/>
  <c r="G5" i="4"/>
  <c r="BT22" i="9" s="1"/>
  <c r="G4" i="4"/>
  <c r="BT21" i="9" s="1"/>
  <c r="G3" i="4"/>
  <c r="G2" i="4"/>
  <c r="J50" i="11"/>
  <c r="I50" i="11"/>
  <c r="H50" i="11"/>
  <c r="G50" i="11"/>
  <c r="F50" i="11"/>
  <c r="E50" i="11"/>
  <c r="D50" i="11"/>
  <c r="C50" i="11"/>
  <c r="B50" i="11"/>
  <c r="I49" i="11"/>
  <c r="H49" i="11"/>
  <c r="G49" i="11"/>
  <c r="F49" i="11"/>
  <c r="E49" i="11"/>
  <c r="D49" i="11"/>
  <c r="C49" i="11"/>
  <c r="B49" i="11"/>
  <c r="A49" i="11"/>
  <c r="I48" i="11"/>
  <c r="H48" i="11"/>
  <c r="G48" i="11"/>
  <c r="F48" i="11"/>
  <c r="E48" i="11"/>
  <c r="D48" i="11"/>
  <c r="C48" i="11"/>
  <c r="B48" i="11"/>
  <c r="A48" i="11"/>
  <c r="I47" i="11"/>
  <c r="H47" i="11"/>
  <c r="G47" i="11"/>
  <c r="F47" i="11"/>
  <c r="E47" i="11"/>
  <c r="D47" i="11"/>
  <c r="C47" i="11"/>
  <c r="B47" i="11"/>
  <c r="A47" i="11"/>
  <c r="I46" i="11"/>
  <c r="H46" i="11"/>
  <c r="G46" i="11"/>
  <c r="F46" i="11"/>
  <c r="E46" i="11"/>
  <c r="D46" i="11"/>
  <c r="C46" i="11"/>
  <c r="B46" i="11"/>
  <c r="A46" i="11"/>
  <c r="I45" i="11"/>
  <c r="H45" i="11"/>
  <c r="G45" i="11"/>
  <c r="F45" i="11"/>
  <c r="E45" i="11"/>
  <c r="D45" i="11"/>
  <c r="C45" i="11"/>
  <c r="B45" i="11"/>
  <c r="A45" i="11"/>
  <c r="I44" i="11"/>
  <c r="H44" i="11"/>
  <c r="G44" i="11"/>
  <c r="F44" i="11"/>
  <c r="E44" i="11"/>
  <c r="D44" i="11"/>
  <c r="C44" i="11"/>
  <c r="B44" i="11"/>
  <c r="A44" i="11"/>
  <c r="I43" i="11"/>
  <c r="H43" i="11"/>
  <c r="G43" i="11"/>
  <c r="F43" i="11"/>
  <c r="E43" i="11"/>
  <c r="D43" i="11"/>
  <c r="C43" i="11"/>
  <c r="B43" i="11"/>
  <c r="A43" i="11"/>
  <c r="I42" i="11"/>
  <c r="H42" i="11"/>
  <c r="G42" i="11"/>
  <c r="F42" i="11"/>
  <c r="E42" i="11"/>
  <c r="D42" i="11"/>
  <c r="C42" i="11"/>
  <c r="B42" i="11"/>
  <c r="I38" i="11"/>
  <c r="H38" i="11"/>
  <c r="G38" i="11"/>
  <c r="F38" i="11"/>
  <c r="E38" i="11"/>
  <c r="D38" i="11"/>
  <c r="B38" i="11"/>
  <c r="I37" i="11"/>
  <c r="H37" i="11"/>
  <c r="G37" i="11"/>
  <c r="F37" i="11"/>
  <c r="E37" i="11"/>
  <c r="D37" i="11"/>
  <c r="C37" i="11"/>
  <c r="B37" i="11"/>
  <c r="I36" i="11"/>
  <c r="H36" i="11"/>
  <c r="G36" i="11"/>
  <c r="F36" i="11"/>
  <c r="E36" i="11"/>
  <c r="D36" i="11"/>
  <c r="C36" i="11"/>
  <c r="B36" i="11"/>
  <c r="I35" i="11"/>
  <c r="H35" i="11"/>
  <c r="G35" i="11"/>
  <c r="F35" i="11"/>
  <c r="E35" i="11"/>
  <c r="D35" i="11"/>
  <c r="C35" i="11"/>
  <c r="B35" i="11"/>
  <c r="V32" i="11"/>
  <c r="U32" i="11"/>
  <c r="T32" i="11"/>
  <c r="S32" i="11"/>
  <c r="R32" i="11"/>
  <c r="Q32" i="11"/>
  <c r="P32" i="11"/>
  <c r="O32" i="11"/>
  <c r="V31" i="11"/>
  <c r="U31" i="11"/>
  <c r="T31" i="11"/>
  <c r="S31" i="11"/>
  <c r="R31" i="11"/>
  <c r="Q31" i="11"/>
  <c r="P31" i="11"/>
  <c r="O31" i="11"/>
  <c r="I31" i="11"/>
  <c r="H31" i="11"/>
  <c r="G31" i="11"/>
  <c r="F31" i="11"/>
  <c r="E31" i="11"/>
  <c r="D31" i="11"/>
  <c r="C31" i="11"/>
  <c r="A31" i="11"/>
  <c r="V30" i="11"/>
  <c r="U30" i="11"/>
  <c r="T30" i="11"/>
  <c r="S30" i="11"/>
  <c r="R30" i="11"/>
  <c r="Q30" i="11"/>
  <c r="P30" i="11"/>
  <c r="O30" i="11"/>
  <c r="I30" i="11"/>
  <c r="H30" i="11"/>
  <c r="G30" i="11"/>
  <c r="F30" i="11"/>
  <c r="E30" i="11"/>
  <c r="D30" i="11"/>
  <c r="C30" i="11"/>
  <c r="B30" i="11"/>
  <c r="A30" i="11"/>
  <c r="V29" i="11"/>
  <c r="U29" i="11"/>
  <c r="T29" i="11"/>
  <c r="S29" i="11"/>
  <c r="R29" i="11"/>
  <c r="Q29" i="11"/>
  <c r="P29" i="11"/>
  <c r="I29" i="11"/>
  <c r="H29" i="11"/>
  <c r="G29" i="11"/>
  <c r="F29" i="11"/>
  <c r="E29" i="11"/>
  <c r="D29" i="11"/>
  <c r="C29" i="11"/>
  <c r="B29" i="11"/>
  <c r="A29" i="11"/>
  <c r="V28" i="11"/>
  <c r="U28" i="11"/>
  <c r="T28" i="11"/>
  <c r="S28" i="11"/>
  <c r="R28" i="11"/>
  <c r="Q28" i="11"/>
  <c r="P28" i="11"/>
  <c r="O28" i="11"/>
  <c r="I28" i="11"/>
  <c r="H28" i="11"/>
  <c r="G28" i="11"/>
  <c r="F28" i="11"/>
  <c r="E28" i="11"/>
  <c r="D28" i="11"/>
  <c r="C28" i="11"/>
  <c r="B28" i="11"/>
  <c r="A28" i="11"/>
  <c r="V27" i="11"/>
  <c r="U27" i="11"/>
  <c r="T27" i="11"/>
  <c r="S27" i="11"/>
  <c r="R27" i="11"/>
  <c r="Q27" i="11"/>
  <c r="P27" i="11"/>
  <c r="O27" i="11"/>
  <c r="I27" i="11"/>
  <c r="H27" i="11"/>
  <c r="G27" i="11"/>
  <c r="F27" i="11"/>
  <c r="E27" i="11"/>
  <c r="D27" i="11"/>
  <c r="C27" i="11"/>
  <c r="A27" i="11"/>
  <c r="V26" i="11"/>
  <c r="U26" i="11"/>
  <c r="T26" i="11"/>
  <c r="S26" i="11"/>
  <c r="R26" i="11"/>
  <c r="Q26" i="11"/>
  <c r="P26" i="11"/>
  <c r="O26" i="11"/>
  <c r="I26" i="11"/>
  <c r="H26" i="11"/>
  <c r="G26" i="11"/>
  <c r="F26" i="11"/>
  <c r="E26" i="11"/>
  <c r="D26" i="11"/>
  <c r="C26" i="11"/>
  <c r="B26" i="11"/>
  <c r="A26" i="11"/>
  <c r="C25" i="11"/>
  <c r="B25" i="11"/>
  <c r="A25" i="11"/>
  <c r="V24" i="11"/>
  <c r="U24" i="11"/>
  <c r="T24" i="11"/>
  <c r="S24" i="11"/>
  <c r="R24" i="11"/>
  <c r="Q24" i="11"/>
  <c r="P24" i="11"/>
  <c r="O24" i="11"/>
  <c r="I24" i="11"/>
  <c r="H24" i="11"/>
  <c r="G24" i="11"/>
  <c r="F24" i="11"/>
  <c r="E24" i="11"/>
  <c r="D24" i="11"/>
  <c r="C24" i="11"/>
  <c r="B24" i="11"/>
  <c r="J21" i="11"/>
  <c r="I21" i="11"/>
  <c r="H21" i="11"/>
  <c r="G21" i="11"/>
  <c r="F21" i="11"/>
  <c r="E21" i="11"/>
  <c r="D21" i="11"/>
  <c r="C21" i="11"/>
  <c r="B21" i="11"/>
  <c r="A21" i="11"/>
  <c r="J20" i="11"/>
  <c r="I20" i="11"/>
  <c r="H20" i="11"/>
  <c r="G20" i="11"/>
  <c r="F20" i="11"/>
  <c r="E20" i="11"/>
  <c r="D20" i="11"/>
  <c r="C20" i="11"/>
  <c r="B20" i="11"/>
  <c r="J19" i="11"/>
  <c r="I19" i="11"/>
  <c r="H19" i="11"/>
  <c r="G19" i="11"/>
  <c r="F19" i="11"/>
  <c r="E19" i="11"/>
  <c r="D19" i="11"/>
  <c r="C19" i="11"/>
  <c r="B19" i="11"/>
  <c r="J18" i="11"/>
  <c r="I18" i="11"/>
  <c r="H18" i="11"/>
  <c r="G18" i="11"/>
  <c r="F18" i="11"/>
  <c r="E18" i="11"/>
  <c r="D18" i="11"/>
  <c r="C18" i="11"/>
  <c r="B18" i="11"/>
  <c r="V17" i="11"/>
  <c r="U17" i="11"/>
  <c r="T17" i="11"/>
  <c r="S17" i="11"/>
  <c r="R17" i="11"/>
  <c r="Q17" i="11"/>
  <c r="P17" i="11"/>
  <c r="O17" i="11"/>
  <c r="J17" i="11"/>
  <c r="I17" i="11"/>
  <c r="H17" i="11"/>
  <c r="G17" i="11"/>
  <c r="F17" i="11"/>
  <c r="E17" i="11"/>
  <c r="D17" i="11"/>
  <c r="C17" i="11"/>
  <c r="B17" i="11"/>
  <c r="V16" i="11"/>
  <c r="U16" i="11"/>
  <c r="T16" i="11"/>
  <c r="S16" i="11"/>
  <c r="R16" i="11"/>
  <c r="Q16" i="11"/>
  <c r="P16" i="11"/>
  <c r="O16" i="11"/>
  <c r="J16" i="11"/>
  <c r="I16" i="11"/>
  <c r="H16" i="11"/>
  <c r="G16" i="11"/>
  <c r="F16" i="11"/>
  <c r="E16" i="11"/>
  <c r="D16" i="11"/>
  <c r="C16" i="11"/>
  <c r="B16" i="11"/>
  <c r="V15" i="11"/>
  <c r="U15" i="11"/>
  <c r="T15" i="11"/>
  <c r="S15" i="11"/>
  <c r="R15" i="11"/>
  <c r="Q15" i="11"/>
  <c r="P15" i="11"/>
  <c r="O15" i="11"/>
  <c r="J15" i="11"/>
  <c r="I15" i="11"/>
  <c r="H15" i="11"/>
  <c r="G15" i="11"/>
  <c r="F15" i="11"/>
  <c r="E15" i="11"/>
  <c r="D15" i="11"/>
  <c r="C15" i="11"/>
  <c r="B15" i="11"/>
  <c r="V14" i="11"/>
  <c r="U14" i="11"/>
  <c r="T14" i="11"/>
  <c r="S14" i="11"/>
  <c r="R14" i="11"/>
  <c r="Q14" i="11"/>
  <c r="P14" i="11"/>
  <c r="O14" i="11"/>
  <c r="J14" i="11"/>
  <c r="I14" i="11"/>
  <c r="H14" i="11"/>
  <c r="G14" i="11"/>
  <c r="F14" i="11"/>
  <c r="E14" i="11"/>
  <c r="D14" i="11"/>
  <c r="C14" i="11"/>
  <c r="B14" i="11"/>
  <c r="K13" i="11"/>
  <c r="I13" i="11"/>
  <c r="H13" i="11"/>
  <c r="G13" i="11"/>
  <c r="F13" i="11"/>
  <c r="E13" i="11"/>
  <c r="D13" i="11"/>
  <c r="C13" i="11"/>
  <c r="B13" i="11"/>
  <c r="V12" i="11"/>
  <c r="U12" i="11"/>
  <c r="T12" i="11"/>
  <c r="S12" i="11"/>
  <c r="R12" i="11"/>
  <c r="Q12" i="11"/>
  <c r="P12" i="11"/>
  <c r="O12" i="11"/>
  <c r="L11" i="11"/>
  <c r="J11" i="11"/>
  <c r="V10" i="11"/>
  <c r="U10" i="11"/>
  <c r="T10" i="11"/>
  <c r="S10" i="11"/>
  <c r="R10" i="11"/>
  <c r="Q10" i="11"/>
  <c r="P10" i="11"/>
  <c r="O10" i="11"/>
  <c r="L10" i="11"/>
  <c r="K10" i="11"/>
  <c r="J10" i="11"/>
  <c r="I10" i="11"/>
  <c r="H10" i="11"/>
  <c r="G10" i="11"/>
  <c r="F10" i="11"/>
  <c r="E10" i="11"/>
  <c r="D10" i="11"/>
  <c r="C10" i="11"/>
  <c r="B10" i="11"/>
  <c r="V9" i="11"/>
  <c r="U9" i="11"/>
  <c r="T9" i="11"/>
  <c r="S9" i="11"/>
  <c r="R9" i="11"/>
  <c r="Q9" i="11"/>
  <c r="P9" i="11"/>
  <c r="O9" i="11"/>
  <c r="L9" i="11"/>
  <c r="J9" i="11"/>
  <c r="D9" i="11"/>
  <c r="V8" i="11"/>
  <c r="U8" i="11"/>
  <c r="T8" i="11"/>
  <c r="S8" i="11"/>
  <c r="R8" i="11"/>
  <c r="Q8" i="11"/>
  <c r="P8" i="11"/>
  <c r="O8" i="11"/>
  <c r="L8" i="11"/>
  <c r="J8" i="11"/>
  <c r="V7" i="11"/>
  <c r="U7" i="11"/>
  <c r="T7" i="11"/>
  <c r="S7" i="11"/>
  <c r="R7" i="11"/>
  <c r="Q7" i="11"/>
  <c r="P7" i="11"/>
  <c r="O7" i="11"/>
  <c r="L7" i="11"/>
  <c r="J7" i="11"/>
  <c r="D7" i="11"/>
  <c r="V6" i="11"/>
  <c r="U6" i="11"/>
  <c r="T6" i="11"/>
  <c r="S6" i="11"/>
  <c r="R6" i="11"/>
  <c r="Q6" i="11"/>
  <c r="P6" i="11"/>
  <c r="O6" i="11"/>
  <c r="L6" i="11"/>
  <c r="K6" i="11"/>
  <c r="J6" i="11"/>
  <c r="F6" i="11"/>
  <c r="D6" i="11"/>
  <c r="V5" i="11"/>
  <c r="U5" i="11"/>
  <c r="T5" i="11"/>
  <c r="S5" i="11"/>
  <c r="R5" i="11"/>
  <c r="Q5" i="11"/>
  <c r="P5" i="11"/>
  <c r="O5" i="11"/>
  <c r="L5" i="11"/>
  <c r="K5" i="11"/>
  <c r="J5" i="11"/>
  <c r="D5" i="11"/>
  <c r="C5" i="11"/>
  <c r="B5" i="11"/>
  <c r="V4" i="11"/>
  <c r="U4" i="11"/>
  <c r="T4" i="11"/>
  <c r="S4" i="11"/>
  <c r="R4" i="11"/>
  <c r="Q4" i="11"/>
  <c r="P4" i="11"/>
  <c r="O4" i="11"/>
  <c r="L4" i="11"/>
  <c r="J4" i="11"/>
  <c r="D4" i="11"/>
  <c r="V3" i="11"/>
  <c r="U3" i="11"/>
  <c r="T3" i="11"/>
  <c r="S3" i="11"/>
  <c r="R3" i="11"/>
  <c r="Q3" i="11"/>
  <c r="P3" i="11"/>
  <c r="O3" i="11"/>
  <c r="L3" i="11"/>
  <c r="J3" i="11"/>
  <c r="D3" i="11"/>
  <c r="C3" i="11"/>
  <c r="V2" i="11"/>
  <c r="U2" i="11"/>
  <c r="T2" i="11"/>
  <c r="S2" i="11"/>
  <c r="R2" i="11"/>
  <c r="Q2" i="11"/>
  <c r="P2" i="11"/>
  <c r="O2" i="11"/>
  <c r="C38" i="8"/>
  <c r="D38" i="8" s="1"/>
  <c r="O23" i="8"/>
  <c r="BG6" i="9" s="1"/>
  <c r="M23" i="8"/>
  <c r="M24" i="8" s="1"/>
  <c r="T21" i="8"/>
  <c r="I16" i="8"/>
  <c r="F16" i="8"/>
  <c r="AU22" i="9" s="1"/>
  <c r="AV22" i="9" s="1"/>
  <c r="I15" i="8"/>
  <c r="O14" i="8"/>
  <c r="BG3" i="9" s="1"/>
  <c r="M14" i="8"/>
  <c r="BF3" i="9" s="1"/>
  <c r="I14" i="8"/>
  <c r="F14" i="8"/>
  <c r="AU20" i="9" s="1"/>
  <c r="AV20" i="9" s="1"/>
  <c r="O13" i="8"/>
  <c r="BG2" i="9" s="1"/>
  <c r="M13" i="8"/>
  <c r="BF2" i="9" s="1"/>
  <c r="I13" i="8"/>
  <c r="I9" i="8"/>
  <c r="E5" i="8"/>
  <c r="C55" i="8" s="1"/>
  <c r="AA4" i="8"/>
  <c r="AA3" i="8"/>
  <c r="H3" i="8"/>
  <c r="A3" i="8"/>
  <c r="AA2" i="8"/>
  <c r="J2" i="8"/>
  <c r="G2" i="8" s="1"/>
  <c r="C4" i="8" s="1"/>
  <c r="I2" i="8"/>
  <c r="J8" i="8" s="1"/>
  <c r="E10" i="8" s="1"/>
  <c r="H2" i="8"/>
  <c r="AC42" i="5"/>
  <c r="X41" i="5"/>
  <c r="W41" i="5"/>
  <c r="V41" i="5"/>
  <c r="U41" i="5"/>
  <c r="T41" i="5"/>
  <c r="S41" i="5"/>
  <c r="R41" i="5"/>
  <c r="Q41" i="5"/>
  <c r="P41" i="5"/>
  <c r="G40" i="5"/>
  <c r="F40" i="5"/>
  <c r="X38" i="5"/>
  <c r="AM8" i="9"/>
  <c r="AL8" i="9"/>
  <c r="AK8" i="9"/>
  <c r="AJ8" i="9"/>
  <c r="AI8" i="9"/>
  <c r="AH8" i="9"/>
  <c r="AG8" i="9"/>
  <c r="AF8" i="9"/>
  <c r="S39" i="5"/>
  <c r="S40" i="5" s="1"/>
  <c r="AG7" i="9"/>
  <c r="AF7" i="9"/>
  <c r="X36" i="5"/>
  <c r="AM6" i="9"/>
  <c r="AL6" i="9"/>
  <c r="AK6" i="9"/>
  <c r="AJ6" i="9"/>
  <c r="AI6" i="9"/>
  <c r="AH6" i="9"/>
  <c r="AG6" i="9"/>
  <c r="AF6" i="9"/>
  <c r="Y35" i="5"/>
  <c r="AN5" i="9" s="1"/>
  <c r="W35" i="5"/>
  <c r="AM5" i="9" s="1"/>
  <c r="V35" i="5"/>
  <c r="AL5" i="9" s="1"/>
  <c r="U35" i="5"/>
  <c r="AK5" i="9" s="1"/>
  <c r="T35" i="5"/>
  <c r="AJ5" i="9" s="1"/>
  <c r="S35" i="5"/>
  <c r="R35" i="5"/>
  <c r="AH5" i="9" s="1"/>
  <c r="Q35" i="5"/>
  <c r="P35" i="5"/>
  <c r="X35" i="5" s="1"/>
  <c r="Y34" i="5"/>
  <c r="AN4" i="9" s="1"/>
  <c r="W34" i="5"/>
  <c r="AM4" i="9" s="1"/>
  <c r="V34" i="5"/>
  <c r="AL4" i="9" s="1"/>
  <c r="U34" i="5"/>
  <c r="T34" i="5"/>
  <c r="AJ4" i="9" s="1"/>
  <c r="S34" i="5"/>
  <c r="R34" i="5"/>
  <c r="AH4" i="9" s="1"/>
  <c r="Q34" i="5"/>
  <c r="AG4" i="9" s="1"/>
  <c r="P34" i="5"/>
  <c r="AF4" i="9" s="1"/>
  <c r="Y33" i="5"/>
  <c r="AN3" i="9" s="1"/>
  <c r="X33" i="5"/>
  <c r="W33" i="5"/>
  <c r="AM3" i="9" s="1"/>
  <c r="V33" i="5"/>
  <c r="AL3" i="9" s="1"/>
  <c r="U33" i="5"/>
  <c r="AK3" i="9" s="1"/>
  <c r="T33" i="5"/>
  <c r="AJ3" i="9" s="1"/>
  <c r="S33" i="5"/>
  <c r="R33" i="5"/>
  <c r="AH3" i="9" s="1"/>
  <c r="Q33" i="5"/>
  <c r="P33" i="5"/>
  <c r="AF3" i="9" s="1"/>
  <c r="Y32" i="5"/>
  <c r="AN2" i="9" s="1"/>
  <c r="W32" i="5"/>
  <c r="AM2" i="9" s="1"/>
  <c r="V32" i="5"/>
  <c r="AL2" i="9" s="1"/>
  <c r="U32" i="5"/>
  <c r="AK2" i="9" s="1"/>
  <c r="T32" i="5"/>
  <c r="T39" i="5" s="1"/>
  <c r="T40" i="5" s="1"/>
  <c r="AJ9" i="9" s="1"/>
  <c r="S32" i="5"/>
  <c r="R32" i="5"/>
  <c r="AH2" i="9" s="1"/>
  <c r="Q32" i="5"/>
  <c r="Q39" i="5" s="1"/>
  <c r="Q40" i="5" s="1"/>
  <c r="P32" i="5"/>
  <c r="X32" i="5" s="1"/>
  <c r="AG26" i="5"/>
  <c r="C24" i="5"/>
  <c r="B24" i="5"/>
  <c r="AJ23" i="5"/>
  <c r="AI23" i="5"/>
  <c r="AH23" i="5"/>
  <c r="AG23" i="5"/>
  <c r="AJ22" i="5"/>
  <c r="AI22" i="5"/>
  <c r="AH22" i="5"/>
  <c r="AG22" i="5"/>
  <c r="AJ21" i="5"/>
  <c r="AI21" i="5"/>
  <c r="AH21" i="5"/>
  <c r="AG21" i="5"/>
  <c r="AJ20" i="5"/>
  <c r="AI20" i="5"/>
  <c r="AH20" i="5"/>
  <c r="AG20" i="5"/>
  <c r="AJ19" i="5"/>
  <c r="AI19" i="5"/>
  <c r="AH19" i="5"/>
  <c r="AG19" i="5"/>
  <c r="AJ18" i="5"/>
  <c r="AI18" i="5"/>
  <c r="AH18" i="5"/>
  <c r="AG18" i="5"/>
  <c r="AJ17" i="5"/>
  <c r="AI17" i="5"/>
  <c r="AH17" i="5"/>
  <c r="AG17" i="5"/>
  <c r="AJ16" i="5"/>
  <c r="AI16" i="5"/>
  <c r="AH16" i="5"/>
  <c r="AG16" i="5"/>
  <c r="AJ15" i="5"/>
  <c r="AI15" i="5"/>
  <c r="AD15" i="5"/>
  <c r="AJ14" i="5"/>
  <c r="AI14" i="5"/>
  <c r="AD14" i="5"/>
  <c r="AJ13" i="5"/>
  <c r="AI13" i="5"/>
  <c r="AD13" i="5"/>
  <c r="AJ12" i="5"/>
  <c r="AI12" i="5"/>
  <c r="AH12" i="5"/>
  <c r="AG12" i="5"/>
  <c r="AJ11" i="5"/>
  <c r="AI11" i="5"/>
  <c r="AH11" i="5"/>
  <c r="AG11" i="5"/>
  <c r="AD11" i="5"/>
  <c r="AJ10" i="5"/>
  <c r="AI10" i="5"/>
  <c r="AH10" i="5"/>
  <c r="AG10" i="5"/>
  <c r="AJ9" i="5"/>
  <c r="AI9" i="5"/>
  <c r="AH9" i="5"/>
  <c r="AG9" i="5"/>
  <c r="BT19" i="9" l="1"/>
  <c r="U39" i="5"/>
  <c r="U40" i="5" s="1"/>
  <c r="AK9" i="9" s="1"/>
  <c r="AF2" i="9"/>
  <c r="AF5" i="9"/>
  <c r="R39" i="5"/>
  <c r="R40" i="5" s="1"/>
  <c r="V39" i="5"/>
  <c r="V40" i="5" s="1"/>
  <c r="AJ2" i="9"/>
  <c r="X34" i="5"/>
  <c r="C57" i="8"/>
  <c r="C2" i="8"/>
  <c r="C3" i="8" s="1"/>
  <c r="E4" i="8"/>
  <c r="M25" i="8"/>
  <c r="O24" i="8"/>
  <c r="BG7" i="9" s="1"/>
  <c r="BF7" i="9"/>
  <c r="C10" i="8"/>
  <c r="E9" i="8"/>
  <c r="I3" i="8"/>
  <c r="F15" i="8"/>
  <c r="AU21" i="9" s="1"/>
  <c r="AV21" i="9" s="1"/>
  <c r="E2" i="8"/>
  <c r="O15" i="8"/>
  <c r="BG4" i="9" s="1"/>
  <c r="BH4" i="9" s="1"/>
  <c r="BF6" i="9"/>
  <c r="BH6" i="9" s="1"/>
  <c r="O16" i="8"/>
  <c r="BG5" i="9" s="1"/>
  <c r="BH5" i="9" s="1"/>
  <c r="L19" i="11"/>
  <c r="V19" i="11" s="1"/>
  <c r="I24" i="8"/>
  <c r="AN46" i="9"/>
  <c r="Y37" i="5"/>
  <c r="AN7" i="9" s="1"/>
  <c r="L49" i="5"/>
  <c r="L47" i="5"/>
  <c r="BH3" i="9"/>
  <c r="AO4" i="9"/>
  <c r="B42" i="9"/>
  <c r="AO5" i="9"/>
  <c r="AO3" i="9"/>
  <c r="S19" i="11"/>
  <c r="F13" i="13"/>
  <c r="D16" i="13"/>
  <c r="D21" i="13" s="1"/>
  <c r="B10" i="13"/>
  <c r="D10" i="13" s="1"/>
  <c r="D9" i="13"/>
  <c r="F14" i="13"/>
  <c r="AH9" i="9"/>
  <c r="R42" i="5"/>
  <c r="AL9" i="9"/>
  <c r="V42" i="5"/>
  <c r="AI9" i="9"/>
  <c r="S42" i="5"/>
  <c r="AF10" i="9"/>
  <c r="AG10" i="9"/>
  <c r="AG9" i="9"/>
  <c r="Q42" i="5"/>
  <c r="AH7" i="9"/>
  <c r="AI7" i="9"/>
  <c r="AI10" i="9" s="1"/>
  <c r="AJ7" i="9"/>
  <c r="AJ10" i="9" s="1"/>
  <c r="AK7" i="9"/>
  <c r="AK10" i="9" s="1"/>
  <c r="AL7" i="9"/>
  <c r="AL10" i="9" s="1"/>
  <c r="W39" i="5"/>
  <c r="W40" i="5" s="1"/>
  <c r="O19" i="11"/>
  <c r="AM7" i="9"/>
  <c r="AM10" i="9" s="1"/>
  <c r="P19" i="11"/>
  <c r="Q19" i="11"/>
  <c r="AO2" i="9"/>
  <c r="X37" i="5"/>
  <c r="R19" i="11"/>
  <c r="T42" i="5"/>
  <c r="U19" i="11"/>
  <c r="U42" i="5"/>
  <c r="P39" i="5"/>
  <c r="P40" i="5" s="1"/>
  <c r="B47" i="9"/>
  <c r="B46" i="9"/>
  <c r="B45" i="9"/>
  <c r="B44" i="9"/>
  <c r="BU27" i="9"/>
  <c r="BT20" i="9"/>
  <c r="L25" i="3"/>
  <c r="I18" i="3"/>
  <c r="K10" i="3"/>
  <c r="E8" i="3"/>
  <c r="I47" i="3"/>
  <c r="K17" i="3"/>
  <c r="J18" i="3"/>
  <c r="B15" i="10"/>
  <c r="BH2" i="9"/>
  <c r="R43" i="11" l="1"/>
  <c r="Q43" i="11"/>
  <c r="U43" i="11"/>
  <c r="X39" i="5"/>
  <c r="O43" i="11"/>
  <c r="V43" i="11"/>
  <c r="P43" i="11"/>
  <c r="T19" i="11"/>
  <c r="S43" i="11"/>
  <c r="BH7" i="9"/>
  <c r="C54" i="8"/>
  <c r="D54" i="8" s="1"/>
  <c r="F54" i="8" s="1"/>
  <c r="F55" i="8" s="1"/>
  <c r="B27" i="5"/>
  <c r="B26" i="5" s="1"/>
  <c r="D2" i="5"/>
  <c r="C8" i="8"/>
  <c r="C62" i="8" s="1"/>
  <c r="D62" i="8" s="1"/>
  <c r="BN11" i="9"/>
  <c r="E3" i="8"/>
  <c r="BF8" i="9"/>
  <c r="O25" i="8"/>
  <c r="BG8" i="9" s="1"/>
  <c r="C64" i="8"/>
  <c r="BN7" i="9"/>
  <c r="AA4" i="5"/>
  <c r="C9" i="8"/>
  <c r="C56" i="8"/>
  <c r="BN14" i="9"/>
  <c r="AA2" i="5"/>
  <c r="AN45" i="9"/>
  <c r="L18" i="11"/>
  <c r="I23" i="8"/>
  <c r="Y36" i="5"/>
  <c r="L20" i="11"/>
  <c r="I25" i="8"/>
  <c r="Y38" i="5"/>
  <c r="AN8" i="9" s="1"/>
  <c r="AN47" i="9"/>
  <c r="D20" i="13"/>
  <c r="D19" i="13" s="1"/>
  <c r="D22" i="13" s="1"/>
  <c r="I29" i="3"/>
  <c r="M17" i="3" s="1"/>
  <c r="N17" i="3" s="1"/>
  <c r="P17" i="3" s="1"/>
  <c r="E52" i="9" s="1"/>
  <c r="AO7" i="9"/>
  <c r="X40" i="5"/>
  <c r="AH10" i="9"/>
  <c r="AF9" i="9"/>
  <c r="P42" i="5"/>
  <c r="AM9" i="9"/>
  <c r="W42" i="5"/>
  <c r="K18" i="3"/>
  <c r="T43" i="11" l="1"/>
  <c r="AA2" i="1"/>
  <c r="AA30" i="1" s="1"/>
  <c r="Z2" i="9"/>
  <c r="BH8" i="9"/>
  <c r="AB4" i="5"/>
  <c r="Z4" i="9"/>
  <c r="AA4" i="1"/>
  <c r="D2" i="9"/>
  <c r="D24" i="5"/>
  <c r="C61" i="8"/>
  <c r="D27" i="5"/>
  <c r="Z2" i="5"/>
  <c r="BN12" i="9"/>
  <c r="AO8" i="9"/>
  <c r="V20" i="11"/>
  <c r="S20" i="11"/>
  <c r="P20" i="11"/>
  <c r="O20" i="11"/>
  <c r="R20" i="11"/>
  <c r="T20" i="11"/>
  <c r="Q20" i="11"/>
  <c r="U20" i="11"/>
  <c r="AN6" i="9"/>
  <c r="AO6" i="9" s="1"/>
  <c r="Y39" i="5"/>
  <c r="P18" i="11"/>
  <c r="V18" i="11"/>
  <c r="T18" i="11"/>
  <c r="R18" i="11"/>
  <c r="S18" i="11"/>
  <c r="O18" i="11"/>
  <c r="Q18" i="11"/>
  <c r="U18" i="11"/>
  <c r="M18" i="3"/>
  <c r="N18" i="3" s="1"/>
  <c r="P18" i="3" s="1"/>
  <c r="E53" i="9" s="1"/>
  <c r="B3" i="10"/>
  <c r="I31" i="3"/>
  <c r="M24" i="3"/>
  <c r="N24" i="3" s="1"/>
  <c r="P24" i="3" s="1"/>
  <c r="M21" i="3"/>
  <c r="I21" i="3" s="1"/>
  <c r="M2" i="3"/>
  <c r="N2" i="3" s="1"/>
  <c r="P2" i="3" s="1"/>
  <c r="E37" i="9" s="1"/>
  <c r="M16" i="3"/>
  <c r="I16" i="3" s="1"/>
  <c r="M13" i="3"/>
  <c r="N13" i="3" s="1"/>
  <c r="P13" i="3" s="1"/>
  <c r="E48" i="9" s="1"/>
  <c r="M23" i="3"/>
  <c r="I23" i="3" s="1"/>
  <c r="M8" i="3"/>
  <c r="N8" i="3" s="1"/>
  <c r="P8" i="3" s="1"/>
  <c r="M3" i="3"/>
  <c r="M20" i="3"/>
  <c r="I20" i="3" s="1"/>
  <c r="M5" i="3"/>
  <c r="M12" i="3"/>
  <c r="N12" i="3" s="1"/>
  <c r="P12" i="3" s="1"/>
  <c r="E47" i="9" s="1"/>
  <c r="M7" i="3"/>
  <c r="N7" i="3" s="1"/>
  <c r="P7" i="3" s="1"/>
  <c r="M10" i="3"/>
  <c r="N10" i="3" s="1"/>
  <c r="P10" i="3" s="1"/>
  <c r="E45" i="9" s="1"/>
  <c r="M22" i="3"/>
  <c r="N22" i="3" s="1"/>
  <c r="P22" i="3" s="1"/>
  <c r="E57" i="9" s="1"/>
  <c r="M19" i="3"/>
  <c r="I19" i="3" s="1"/>
  <c r="M11" i="3"/>
  <c r="N11" i="3" s="1"/>
  <c r="P11" i="3" s="1"/>
  <c r="E46" i="9" s="1"/>
  <c r="M6" i="3"/>
  <c r="M14" i="3"/>
  <c r="N14" i="3" s="1"/>
  <c r="P14" i="3" s="1"/>
  <c r="E49" i="9" s="1"/>
  <c r="M15" i="3"/>
  <c r="N15" i="3" s="1"/>
  <c r="P15" i="3" s="1"/>
  <c r="E50" i="9" s="1"/>
  <c r="M9" i="3"/>
  <c r="N9" i="3" s="1"/>
  <c r="P9" i="3" s="1"/>
  <c r="E44" i="9" s="1"/>
  <c r="M25" i="3"/>
  <c r="N25" i="3" s="1"/>
  <c r="P25" i="3" s="1"/>
  <c r="X42" i="5"/>
  <c r="AC16" i="5" a="1"/>
  <c r="AC16" i="5" s="1"/>
  <c r="Q42" i="11" l="1"/>
  <c r="Q21" i="11"/>
  <c r="R33" i="11"/>
  <c r="R42" i="11"/>
  <c r="R21" i="11"/>
  <c r="V33" i="11"/>
  <c r="V42" i="11"/>
  <c r="V21" i="11"/>
  <c r="P33" i="11"/>
  <c r="P34" i="11" s="1"/>
  <c r="P42" i="11"/>
  <c r="P45" i="11" s="1"/>
  <c r="P21" i="11"/>
  <c r="T44" i="11"/>
  <c r="U33" i="11"/>
  <c r="U44" i="11"/>
  <c r="R44" i="11"/>
  <c r="AO10" i="9"/>
  <c r="O44" i="11"/>
  <c r="V44" i="11"/>
  <c r="O42" i="11"/>
  <c r="O45" i="11" s="1"/>
  <c r="O21" i="11"/>
  <c r="S42" i="11"/>
  <c r="S21" i="11"/>
  <c r="Q9" i="6"/>
  <c r="Q10" i="6" s="1"/>
  <c r="T42" i="11"/>
  <c r="T21" i="11"/>
  <c r="Q44" i="11"/>
  <c r="P44" i="11"/>
  <c r="R9" i="6"/>
  <c r="R10" i="6" s="1"/>
  <c r="U42" i="11"/>
  <c r="U45" i="11" s="1"/>
  <c r="U21" i="11"/>
  <c r="S44" i="11"/>
  <c r="E43" i="9"/>
  <c r="F102" i="8"/>
  <c r="E42" i="9"/>
  <c r="F93" i="8"/>
  <c r="Y2" i="9"/>
  <c r="AB2" i="5"/>
  <c r="Z2" i="1"/>
  <c r="BN13" i="9"/>
  <c r="BN15" i="9" s="1"/>
  <c r="AC2" i="5"/>
  <c r="AE2" i="5"/>
  <c r="AA32" i="1"/>
  <c r="AB32" i="1" s="1"/>
  <c r="AB4" i="1"/>
  <c r="AA2" i="9"/>
  <c r="C65" i="8"/>
  <c r="D61" i="8"/>
  <c r="F61" i="8" s="1"/>
  <c r="S33" i="11"/>
  <c r="AJ28" i="9" s="1"/>
  <c r="AM28" i="9"/>
  <c r="V34" i="11"/>
  <c r="T33" i="11"/>
  <c r="Y40" i="5"/>
  <c r="Z39" i="5"/>
  <c r="U34" i="11"/>
  <c r="AL28" i="9"/>
  <c r="R34" i="11"/>
  <c r="Q33" i="11"/>
  <c r="AI28" i="9"/>
  <c r="O33" i="11"/>
  <c r="AN10" i="9"/>
  <c r="N20" i="3"/>
  <c r="P20" i="3" s="1"/>
  <c r="E55" i="9" s="1"/>
  <c r="D55" i="9"/>
  <c r="N23" i="3"/>
  <c r="P23" i="3" s="1"/>
  <c r="E58" i="9" s="1"/>
  <c r="D58" i="9"/>
  <c r="D51" i="9"/>
  <c r="N16" i="3"/>
  <c r="P16" i="3" s="1"/>
  <c r="E51" i="9" s="1"/>
  <c r="N19" i="3"/>
  <c r="P19" i="3" s="1"/>
  <c r="E54" i="9" s="1"/>
  <c r="D54" i="9"/>
  <c r="N21" i="3"/>
  <c r="P21" i="3" s="1"/>
  <c r="E56" i="9" s="1"/>
  <c r="D56" i="9"/>
  <c r="AB42" i="5"/>
  <c r="AB43" i="5" s="1"/>
  <c r="AB22" i="9"/>
  <c r="AB17" i="9"/>
  <c r="AB23" i="9"/>
  <c r="AB18" i="9"/>
  <c r="AB19" i="9"/>
  <c r="AB20" i="9"/>
  <c r="AB21" i="9"/>
  <c r="P49" i="11" l="1"/>
  <c r="P54" i="11"/>
  <c r="P52" i="11"/>
  <c r="P51" i="11"/>
  <c r="P50" i="11"/>
  <c r="P55" i="11"/>
  <c r="P53" i="11"/>
  <c r="U53" i="11"/>
  <c r="U51" i="11"/>
  <c r="U49" i="11"/>
  <c r="U52" i="11"/>
  <c r="U54" i="11"/>
  <c r="U50" i="11"/>
  <c r="U55" i="11"/>
  <c r="O50" i="11"/>
  <c r="O51" i="11"/>
  <c r="O52" i="11"/>
  <c r="O53" i="11"/>
  <c r="O54" i="11"/>
  <c r="O55" i="11"/>
  <c r="O49" i="11"/>
  <c r="S45" i="11"/>
  <c r="L12" i="6"/>
  <c r="L14" i="6" s="1"/>
  <c r="L9" i="6"/>
  <c r="L10" i="6" s="1"/>
  <c r="V45" i="11"/>
  <c r="S12" i="6"/>
  <c r="S14" i="6" s="1"/>
  <c r="S9" i="6"/>
  <c r="S10" i="6" s="1"/>
  <c r="P12" i="6"/>
  <c r="P14" i="6" s="1"/>
  <c r="P9" i="6"/>
  <c r="P10" i="6" s="1"/>
  <c r="AG28" i="9"/>
  <c r="O12" i="6"/>
  <c r="O14" i="6" s="1"/>
  <c r="O9" i="6"/>
  <c r="O10" i="6" s="1"/>
  <c r="S34" i="11"/>
  <c r="R45" i="11"/>
  <c r="R12" i="6"/>
  <c r="R14" i="6" s="1"/>
  <c r="M9" i="6"/>
  <c r="M10" i="6" s="1"/>
  <c r="M12" i="6"/>
  <c r="M14" i="6" s="1"/>
  <c r="T45" i="11"/>
  <c r="N12" i="6"/>
  <c r="N14" i="6" s="1"/>
  <c r="N9" i="6"/>
  <c r="N10" i="6" s="1"/>
  <c r="Q12" i="6"/>
  <c r="Q14" i="6" s="1"/>
  <c r="Q45" i="11"/>
  <c r="AD2" i="5"/>
  <c r="Q2" i="3" s="1"/>
  <c r="S2" i="3" s="1"/>
  <c r="Z30" i="1"/>
  <c r="AB30" i="1" s="1"/>
  <c r="AB2" i="1"/>
  <c r="BO13" i="9"/>
  <c r="BO15" i="9"/>
  <c r="BO11" i="9"/>
  <c r="BO14" i="9"/>
  <c r="BO12" i="9"/>
  <c r="AF28" i="9"/>
  <c r="O34" i="11"/>
  <c r="AH28" i="9"/>
  <c r="Q34" i="11"/>
  <c r="Y42" i="5"/>
  <c r="AN9" i="9"/>
  <c r="Z40" i="5"/>
  <c r="AO9" i="9" s="1"/>
  <c r="AK28" i="9"/>
  <c r="T34" i="11"/>
  <c r="Q2" i="4" a="1"/>
  <c r="L10" i="4"/>
  <c r="AB16" i="9"/>
  <c r="Q43" i="5"/>
  <c r="U43" i="5"/>
  <c r="T43" i="5"/>
  <c r="X43" i="5"/>
  <c r="X44" i="5" s="1"/>
  <c r="W43" i="5"/>
  <c r="V43" i="5"/>
  <c r="S43" i="5"/>
  <c r="R43" i="5"/>
  <c r="P43" i="5"/>
  <c r="F56" i="8" l="1"/>
  <c r="F57" i="8" s="1"/>
  <c r="E62" i="8" s="1"/>
  <c r="F62" i="8" s="1"/>
  <c r="F63" i="8" s="1"/>
  <c r="B37" i="9"/>
  <c r="U56" i="11"/>
  <c r="U57" i="11" s="1"/>
  <c r="Q51" i="11"/>
  <c r="Q49" i="11"/>
  <c r="Q54" i="11"/>
  <c r="Q55" i="11"/>
  <c r="Q52" i="11"/>
  <c r="Q50" i="11"/>
  <c r="Q53" i="11"/>
  <c r="O56" i="11"/>
  <c r="O57" i="11" s="1"/>
  <c r="T53" i="11"/>
  <c r="T51" i="11"/>
  <c r="T49" i="11"/>
  <c r="T54" i="11"/>
  <c r="T52" i="11"/>
  <c r="T50" i="11"/>
  <c r="T55" i="11"/>
  <c r="V55" i="11"/>
  <c r="V53" i="11"/>
  <c r="V51" i="11"/>
  <c r="V49" i="11"/>
  <c r="V54" i="11"/>
  <c r="V52" i="11"/>
  <c r="V50" i="11"/>
  <c r="S51" i="11"/>
  <c r="S49" i="11"/>
  <c r="S50" i="11"/>
  <c r="S54" i="11"/>
  <c r="S52" i="11"/>
  <c r="S53" i="11"/>
  <c r="S55" i="11"/>
  <c r="R51" i="11"/>
  <c r="R49" i="11"/>
  <c r="R56" i="11" s="1"/>
  <c r="R57" i="11" s="1"/>
  <c r="R54" i="11"/>
  <c r="R52" i="11"/>
  <c r="R50" i="11"/>
  <c r="R53" i="11"/>
  <c r="R55" i="11"/>
  <c r="P56" i="11"/>
  <c r="P57" i="11" s="1"/>
  <c r="AD23" i="5"/>
  <c r="Q23" i="3" s="1"/>
  <c r="B58" i="9" s="1"/>
  <c r="AD22" i="5"/>
  <c r="Q22" i="3" s="1"/>
  <c r="B57" i="9" s="1"/>
  <c r="AD19" i="5"/>
  <c r="Q19" i="3" s="1"/>
  <c r="B54" i="9" s="1"/>
  <c r="AD18" i="5"/>
  <c r="Q18" i="3" s="1"/>
  <c r="B53" i="9" s="1"/>
  <c r="Q2" i="4"/>
  <c r="AD21" i="5"/>
  <c r="Q21" i="3" s="1"/>
  <c r="B56" i="9" s="1"/>
  <c r="AD20" i="5"/>
  <c r="Q20" i="3" s="1"/>
  <c r="B55" i="9" s="1"/>
  <c r="AD17" i="5"/>
  <c r="Q17" i="3" s="1"/>
  <c r="B52" i="9" s="1"/>
  <c r="Y43" i="5"/>
  <c r="Y44" i="5" s="1"/>
  <c r="Z44" i="5" s="1"/>
  <c r="P15" i="5"/>
  <c r="P9" i="5"/>
  <c r="P10" i="5"/>
  <c r="P11" i="5"/>
  <c r="P12" i="5"/>
  <c r="P13" i="5"/>
  <c r="P14" i="5"/>
  <c r="P44" i="5"/>
  <c r="S15" i="5"/>
  <c r="S9" i="5"/>
  <c r="S11" i="5"/>
  <c r="S12" i="5"/>
  <c r="S10" i="5"/>
  <c r="S14" i="5"/>
  <c r="S13" i="5"/>
  <c r="S44" i="5"/>
  <c r="V15" i="5"/>
  <c r="V12" i="5"/>
  <c r="V10" i="5"/>
  <c r="V9" i="5"/>
  <c r="V11" i="5"/>
  <c r="V14" i="5"/>
  <c r="V13" i="5"/>
  <c r="V44" i="5"/>
  <c r="W11" i="5"/>
  <c r="W12" i="5"/>
  <c r="W10" i="5"/>
  <c r="W9" i="5"/>
  <c r="W15" i="5"/>
  <c r="W13" i="5"/>
  <c r="W14" i="5"/>
  <c r="W44" i="5"/>
  <c r="U9" i="5"/>
  <c r="U10" i="5"/>
  <c r="U11" i="5"/>
  <c r="U12" i="5"/>
  <c r="U13" i="5"/>
  <c r="U15" i="5"/>
  <c r="U14" i="5"/>
  <c r="U44" i="5"/>
  <c r="T15" i="5"/>
  <c r="T10" i="5"/>
  <c r="T11" i="5"/>
  <c r="T12" i="5"/>
  <c r="T9" i="5"/>
  <c r="T14" i="5"/>
  <c r="T13" i="5"/>
  <c r="T44" i="5"/>
  <c r="R9" i="5"/>
  <c r="R15" i="5"/>
  <c r="R10" i="5"/>
  <c r="R12" i="5"/>
  <c r="R11" i="5"/>
  <c r="R13" i="5"/>
  <c r="R14" i="5"/>
  <c r="R44" i="5"/>
  <c r="Q14" i="5"/>
  <c r="Q9" i="5"/>
  <c r="Q10" i="5"/>
  <c r="Q11" i="5"/>
  <c r="Q12" i="5"/>
  <c r="Q15" i="5"/>
  <c r="Q13" i="5"/>
  <c r="Q44" i="5"/>
  <c r="S56" i="11" l="1"/>
  <c r="S57" i="11" s="1"/>
  <c r="V56" i="11"/>
  <c r="V57" i="11" s="1"/>
  <c r="Q56" i="11"/>
  <c r="Q57" i="11" s="1"/>
  <c r="T56" i="11"/>
  <c r="T57" i="11" s="1"/>
  <c r="X23" i="9"/>
  <c r="X23" i="5"/>
  <c r="P9" i="4"/>
  <c r="P6" i="4"/>
  <c r="X20" i="5"/>
  <c r="X20" i="9"/>
  <c r="X19" i="9"/>
  <c r="P5" i="4"/>
  <c r="X19" i="5"/>
  <c r="X17" i="5"/>
  <c r="X17" i="9"/>
  <c r="P3" i="4"/>
  <c r="X22" i="9"/>
  <c r="X22" i="5"/>
  <c r="P8" i="4"/>
  <c r="X21" i="9"/>
  <c r="P7" i="4"/>
  <c r="X21" i="5"/>
  <c r="X18" i="5"/>
  <c r="X18" i="9"/>
  <c r="P4" i="4"/>
  <c r="AD16" i="5"/>
  <c r="Q16" i="3" s="1"/>
  <c r="B51" i="9" s="1"/>
  <c r="Y13" i="5"/>
  <c r="Y14" i="5"/>
  <c r="Y15" i="5"/>
  <c r="Y11" i="5"/>
  <c r="AE11" i="5" s="1"/>
  <c r="Y10" i="5"/>
  <c r="AE10" i="5" s="1"/>
  <c r="Y9" i="5"/>
  <c r="AE9" i="5" s="1"/>
  <c r="Y12" i="5"/>
  <c r="AE12" i="5" s="1"/>
  <c r="R13" i="9"/>
  <c r="AH19" i="9"/>
  <c r="AK20" i="9"/>
  <c r="U14" i="9"/>
  <c r="V9" i="9"/>
  <c r="V24" i="5"/>
  <c r="AL15" i="9"/>
  <c r="AL16" i="9"/>
  <c r="V10" i="9"/>
  <c r="AH16" i="9"/>
  <c r="R10" i="9"/>
  <c r="AK18" i="9"/>
  <c r="U12" i="9"/>
  <c r="V15" i="9"/>
  <c r="AL21" i="9"/>
  <c r="R11" i="9"/>
  <c r="AH17" i="9"/>
  <c r="AL18" i="9"/>
  <c r="V12" i="9"/>
  <c r="AH15" i="9"/>
  <c r="R24" i="5"/>
  <c r="R9" i="9"/>
  <c r="AK16" i="9"/>
  <c r="U10" i="9"/>
  <c r="S13" i="9"/>
  <c r="AI19" i="9"/>
  <c r="U9" i="9"/>
  <c r="U24" i="5"/>
  <c r="AK15" i="9"/>
  <c r="AI20" i="9"/>
  <c r="S14" i="9"/>
  <c r="U15" i="9"/>
  <c r="AK21" i="9"/>
  <c r="AI16" i="9"/>
  <c r="S10" i="9"/>
  <c r="AI18" i="9"/>
  <c r="S12" i="9"/>
  <c r="S11" i="9"/>
  <c r="AI17" i="9"/>
  <c r="AI15" i="9"/>
  <c r="S24" i="5"/>
  <c r="S9" i="9"/>
  <c r="AG18" i="9"/>
  <c r="Q12" i="9"/>
  <c r="AF17" i="9"/>
  <c r="P11" i="9"/>
  <c r="U11" i="9"/>
  <c r="AK17" i="9"/>
  <c r="AM20" i="9"/>
  <c r="W14" i="9"/>
  <c r="Q13" i="9"/>
  <c r="AG19" i="9"/>
  <c r="W15" i="9"/>
  <c r="AM21" i="9"/>
  <c r="P13" i="9"/>
  <c r="AF19" i="9"/>
  <c r="AE13" i="5"/>
  <c r="AM18" i="9"/>
  <c r="W12" i="9"/>
  <c r="AG16" i="9"/>
  <c r="Q10" i="9"/>
  <c r="AG15" i="9"/>
  <c r="Q24" i="5"/>
  <c r="Q9" i="9"/>
  <c r="T11" i="9"/>
  <c r="AJ17" i="9"/>
  <c r="AF15" i="9"/>
  <c r="P24" i="5"/>
  <c r="Y47" i="5"/>
  <c r="P9" i="9"/>
  <c r="W13" i="9"/>
  <c r="AM19" i="9"/>
  <c r="AE14" i="5"/>
  <c r="AF20" i="9"/>
  <c r="P14" i="9"/>
  <c r="W9" i="9"/>
  <c r="AM15" i="9"/>
  <c r="W24" i="5"/>
  <c r="AM16" i="9"/>
  <c r="W10" i="9"/>
  <c r="W11" i="9"/>
  <c r="AM17" i="9"/>
  <c r="AG20" i="9"/>
  <c r="Q14" i="9"/>
  <c r="AJ16" i="9"/>
  <c r="T10" i="9"/>
  <c r="V13" i="9"/>
  <c r="AL19" i="9"/>
  <c r="AE15" i="5"/>
  <c r="P15" i="9"/>
  <c r="AF21" i="9"/>
  <c r="S15" i="9"/>
  <c r="AI21" i="9"/>
  <c r="Q15" i="9"/>
  <c r="AG21" i="9"/>
  <c r="AF18" i="9"/>
  <c r="P12" i="9"/>
  <c r="Q11" i="9"/>
  <c r="AG17" i="9"/>
  <c r="AF16" i="9"/>
  <c r="P10" i="9"/>
  <c r="T15" i="9"/>
  <c r="AJ21" i="9"/>
  <c r="AL20" i="9"/>
  <c r="V14" i="9"/>
  <c r="AH18" i="9"/>
  <c r="R12" i="9"/>
  <c r="U13" i="9"/>
  <c r="AK19" i="9"/>
  <c r="R15" i="9"/>
  <c r="AH21" i="9"/>
  <c r="T13" i="9"/>
  <c r="AJ19" i="9"/>
  <c r="AJ20" i="9"/>
  <c r="T14" i="9"/>
  <c r="AJ15" i="9"/>
  <c r="T9" i="9"/>
  <c r="T24" i="5"/>
  <c r="AJ18" i="9"/>
  <c r="T12" i="9"/>
  <c r="AH20" i="9"/>
  <c r="R14" i="9"/>
  <c r="V11" i="9"/>
  <c r="AL17" i="9"/>
  <c r="BV38" i="9" l="1"/>
  <c r="BT38" i="9"/>
  <c r="BW38" i="9" s="1"/>
  <c r="Y12" i="1"/>
  <c r="Y12" i="9"/>
  <c r="AN18" i="9"/>
  <c r="AB12" i="5"/>
  <c r="AB22" i="5"/>
  <c r="X22" i="1"/>
  <c r="AE22" i="5"/>
  <c r="AF22" i="5" s="1"/>
  <c r="Y9" i="1"/>
  <c r="AN15" i="9"/>
  <c r="AO15" i="9" s="1"/>
  <c r="AV2" i="9" s="1"/>
  <c r="Y9" i="9"/>
  <c r="Y24" i="5"/>
  <c r="AB9" i="5"/>
  <c r="Y10" i="9"/>
  <c r="AB10" i="5"/>
  <c r="AN16" i="9"/>
  <c r="Y10" i="1"/>
  <c r="BT33" i="9"/>
  <c r="BW33" i="9" s="1"/>
  <c r="BV33" i="9"/>
  <c r="Y11" i="1"/>
  <c r="Y11" i="9"/>
  <c r="AB11" i="5"/>
  <c r="AN17" i="9"/>
  <c r="AO17" i="9" s="1"/>
  <c r="AV4" i="9" s="1"/>
  <c r="AN21" i="9"/>
  <c r="AO21" i="9" s="1"/>
  <c r="AV8" i="9" s="1"/>
  <c r="Y15" i="1"/>
  <c r="Y43" i="1" s="1"/>
  <c r="Y15" i="9"/>
  <c r="X17" i="1"/>
  <c r="AE17" i="5"/>
  <c r="AF17" i="5" s="1"/>
  <c r="AB17" i="5"/>
  <c r="AN20" i="9"/>
  <c r="AO20" i="9" s="1"/>
  <c r="AV7" i="9" s="1"/>
  <c r="Y14" i="9"/>
  <c r="Y14" i="1"/>
  <c r="Y42" i="1" s="1"/>
  <c r="X19" i="1"/>
  <c r="AB19" i="5"/>
  <c r="AE19" i="5"/>
  <c r="AF19" i="5" s="1"/>
  <c r="Y13" i="1"/>
  <c r="Y41" i="1" s="1"/>
  <c r="Y13" i="9"/>
  <c r="AN19" i="9"/>
  <c r="AO19" i="9" s="1"/>
  <c r="AV6" i="9" s="1"/>
  <c r="BV35" i="9"/>
  <c r="BT35" i="9"/>
  <c r="BW35" i="9" s="1"/>
  <c r="M10" i="4"/>
  <c r="AN35" i="9" s="1"/>
  <c r="X16" i="5"/>
  <c r="X16" i="9"/>
  <c r="X27" i="9" s="1"/>
  <c r="AF29" i="9" a="1"/>
  <c r="AF29" i="9" s="1"/>
  <c r="AN29" i="9" s="1"/>
  <c r="P2" i="4"/>
  <c r="AF35" i="9" a="1"/>
  <c r="BV34" i="9"/>
  <c r="BT34" i="9"/>
  <c r="BW34" i="9" s="1"/>
  <c r="AE20" i="5"/>
  <c r="AF20" i="5" s="1"/>
  <c r="X20" i="1"/>
  <c r="AB20" i="5"/>
  <c r="BV36" i="9"/>
  <c r="BT36" i="9"/>
  <c r="BW36" i="9" s="1"/>
  <c r="X18" i="1"/>
  <c r="AE18" i="5"/>
  <c r="AF18" i="5" s="1"/>
  <c r="AB18" i="5"/>
  <c r="BV39" i="9"/>
  <c r="BT39" i="9"/>
  <c r="BW39" i="9" s="1"/>
  <c r="AE21" i="5"/>
  <c r="AF21" i="5" s="1"/>
  <c r="AB21" i="5"/>
  <c r="X21" i="1"/>
  <c r="AE23" i="5"/>
  <c r="AF23" i="5" s="1"/>
  <c r="X23" i="1"/>
  <c r="AB23" i="5"/>
  <c r="BT37" i="9"/>
  <c r="BW37" i="9" s="1"/>
  <c r="BV37" i="9"/>
  <c r="AJ22" i="9"/>
  <c r="AM22" i="9"/>
  <c r="AF22" i="9"/>
  <c r="AI22" i="9"/>
  <c r="C23" i="8"/>
  <c r="AA13" i="5"/>
  <c r="AC10" i="5"/>
  <c r="C14" i="8"/>
  <c r="AO16" i="9"/>
  <c r="AV3" i="9" s="1"/>
  <c r="AO18" i="9"/>
  <c r="AV5" i="9" s="1"/>
  <c r="J10" i="4"/>
  <c r="K10" i="4"/>
  <c r="AG22" i="9"/>
  <c r="AC12" i="5"/>
  <c r="C16" i="8"/>
  <c r="C15" i="8"/>
  <c r="AC11" i="5"/>
  <c r="AK22" i="9"/>
  <c r="AL22" i="9"/>
  <c r="AH22" i="9"/>
  <c r="Y48" i="5"/>
  <c r="C24" i="8"/>
  <c r="AA14" i="5"/>
  <c r="C25" i="8"/>
  <c r="AA15" i="5"/>
  <c r="C13" i="8"/>
  <c r="AC9" i="5"/>
  <c r="X51" i="1" l="1"/>
  <c r="AB51" i="1" s="1"/>
  <c r="AB23" i="1"/>
  <c r="E23" i="5"/>
  <c r="E23" i="9" s="1"/>
  <c r="F23" i="5"/>
  <c r="F23" i="9" s="1"/>
  <c r="AM39" i="9"/>
  <c r="AF35" i="9"/>
  <c r="AI39" i="9"/>
  <c r="AJ39" i="9"/>
  <c r="AK39" i="9"/>
  <c r="AL39" i="9"/>
  <c r="AG39" i="9"/>
  <c r="AH39" i="9"/>
  <c r="AB21" i="1"/>
  <c r="X49" i="1"/>
  <c r="AB49" i="1" s="1"/>
  <c r="BT32" i="9"/>
  <c r="P10" i="4"/>
  <c r="BV32" i="9"/>
  <c r="BV40" i="9" s="1"/>
  <c r="AF38" i="9" a="1"/>
  <c r="AF38" i="9" s="1"/>
  <c r="AO38" i="9" s="1"/>
  <c r="E17" i="5"/>
  <c r="E17" i="9" s="1"/>
  <c r="F17" i="5"/>
  <c r="F17" i="9" s="1"/>
  <c r="Y49" i="5"/>
  <c r="Y50" i="5" s="1"/>
  <c r="Z51" i="5" s="1"/>
  <c r="G39" i="5"/>
  <c r="E21" i="5"/>
  <c r="E21" i="9" s="1"/>
  <c r="F21" i="5"/>
  <c r="F21" i="9" s="1"/>
  <c r="AB17" i="1"/>
  <c r="X45" i="1"/>
  <c r="AB45" i="1" s="1"/>
  <c r="X16" i="1"/>
  <c r="X24" i="5"/>
  <c r="E40" i="5" s="1"/>
  <c r="AB16" i="5"/>
  <c r="AE16" i="5"/>
  <c r="AF16" i="5" s="1"/>
  <c r="AN22" i="9"/>
  <c r="AO22" i="9" s="1"/>
  <c r="Y24" i="1"/>
  <c r="AB9" i="1"/>
  <c r="Y37" i="1"/>
  <c r="AB37" i="1" s="1"/>
  <c r="E22" i="5"/>
  <c r="E22" i="9" s="1"/>
  <c r="F22" i="5"/>
  <c r="F22" i="9" s="1"/>
  <c r="E18" i="5"/>
  <c r="E18" i="9" s="1"/>
  <c r="F18" i="5"/>
  <c r="F18" i="9" s="1"/>
  <c r="X50" i="1"/>
  <c r="AB50" i="1" s="1"/>
  <c r="AB22" i="1"/>
  <c r="X46" i="1"/>
  <c r="AB46" i="1" s="1"/>
  <c r="AB18" i="1"/>
  <c r="Y39" i="1"/>
  <c r="AB39" i="1" s="1"/>
  <c r="AB11" i="1"/>
  <c r="F19" i="5"/>
  <c r="F19" i="9" s="1"/>
  <c r="E19" i="5"/>
  <c r="E19" i="9" s="1"/>
  <c r="AB20" i="1"/>
  <c r="X48" i="1"/>
  <c r="AB48" i="1" s="1"/>
  <c r="Y40" i="1"/>
  <c r="AB40" i="1" s="1"/>
  <c r="AB12" i="1"/>
  <c r="F20" i="5"/>
  <c r="F20" i="9" s="1"/>
  <c r="E20" i="5"/>
  <c r="E20" i="9" s="1"/>
  <c r="X47" i="1"/>
  <c r="AB47" i="1" s="1"/>
  <c r="AB19" i="1"/>
  <c r="AB10" i="1"/>
  <c r="Y38" i="1"/>
  <c r="AB38" i="1" s="1"/>
  <c r="AZ3" i="9"/>
  <c r="AF10" i="5"/>
  <c r="D14" i="8"/>
  <c r="AX6" i="9"/>
  <c r="AU12" i="9"/>
  <c r="AA13" i="1"/>
  <c r="Z13" i="9"/>
  <c r="AA13" i="9" s="1"/>
  <c r="AB13" i="5"/>
  <c r="AC13" i="5"/>
  <c r="D13" i="8"/>
  <c r="AZ2" i="9"/>
  <c r="AF9" i="5"/>
  <c r="AA15" i="1"/>
  <c r="Z15" i="9"/>
  <c r="AA15" i="9" s="1"/>
  <c r="AX8" i="9"/>
  <c r="AY8" i="9" s="1"/>
  <c r="AU37" i="9" s="1"/>
  <c r="AU14" i="9"/>
  <c r="AB15" i="5"/>
  <c r="AC15" i="5"/>
  <c r="D15" i="8"/>
  <c r="AZ4" i="9"/>
  <c r="AF11" i="5"/>
  <c r="L11" i="4"/>
  <c r="Z14" i="9"/>
  <c r="AA14" i="9" s="1"/>
  <c r="AA14" i="1"/>
  <c r="AX7" i="9"/>
  <c r="AY7" i="9" s="1"/>
  <c r="AU13" i="9"/>
  <c r="AB14" i="5"/>
  <c r="AC14" i="5"/>
  <c r="AZ5" i="9"/>
  <c r="AF12" i="5"/>
  <c r="D16" i="8"/>
  <c r="AV9" i="9"/>
  <c r="BV25" i="9"/>
  <c r="G8" i="4"/>
  <c r="K10" i="12" s="1"/>
  <c r="K22" i="12"/>
  <c r="K30" i="12"/>
  <c r="K31" i="12"/>
  <c r="K32" i="12" l="1"/>
  <c r="K9" i="12"/>
  <c r="K7" i="12"/>
  <c r="K6" i="12"/>
  <c r="K2" i="12"/>
  <c r="M2" i="12" s="1"/>
  <c r="K84" i="12" s="1"/>
  <c r="M31" i="12"/>
  <c r="K113" i="12" s="1"/>
  <c r="M22" i="12"/>
  <c r="K104" i="12" s="1"/>
  <c r="M9" i="12"/>
  <c r="K91" i="12" s="1"/>
  <c r="M32" i="12"/>
  <c r="K114" i="12" s="1"/>
  <c r="M10" i="12"/>
  <c r="K92" i="12" s="1"/>
  <c r="M7" i="12"/>
  <c r="K89" i="12" s="1"/>
  <c r="M30" i="12"/>
  <c r="K112" i="12" s="1"/>
  <c r="M6" i="12"/>
  <c r="K88" i="12" s="1"/>
  <c r="E39" i="5"/>
  <c r="J39" i="5" s="1"/>
  <c r="AA18" i="9"/>
  <c r="AA22" i="9"/>
  <c r="AA17" i="9"/>
  <c r="AA23" i="9"/>
  <c r="R14" i="4"/>
  <c r="R12" i="4"/>
  <c r="B22" i="10" s="1"/>
  <c r="H40" i="5"/>
  <c r="X25" i="9"/>
  <c r="AN38" i="9"/>
  <c r="BW32" i="9"/>
  <c r="BT40" i="9"/>
  <c r="BU40" i="9" s="1"/>
  <c r="AY6" i="9"/>
  <c r="AU35" i="9" s="1"/>
  <c r="AX9" i="9"/>
  <c r="AA19" i="9"/>
  <c r="E16" i="5"/>
  <c r="E16" i="9" s="1"/>
  <c r="AF30" i="9" a="1"/>
  <c r="AF30" i="9" s="1"/>
  <c r="AN30" i="9" s="1"/>
  <c r="F16" i="5"/>
  <c r="F16" i="9" s="1"/>
  <c r="J40" i="5"/>
  <c r="I40" i="5"/>
  <c r="X44" i="1"/>
  <c r="AB16" i="1"/>
  <c r="X24" i="1"/>
  <c r="AA21" i="9"/>
  <c r="AF39" i="9"/>
  <c r="AO35" i="9"/>
  <c r="AA20" i="9"/>
  <c r="H38" i="5"/>
  <c r="AU36" i="9"/>
  <c r="AW5" i="9"/>
  <c r="AY5" i="9" s="1"/>
  <c r="AU31" i="9" s="1"/>
  <c r="F12" i="5"/>
  <c r="F12" i="9" s="1"/>
  <c r="E12" i="5"/>
  <c r="E12" i="9" s="1"/>
  <c r="AA43" i="1"/>
  <c r="AB43" i="1" s="1"/>
  <c r="AB15" i="1"/>
  <c r="E16" i="8"/>
  <c r="G16" i="8" s="1"/>
  <c r="AV31" i="9" s="1"/>
  <c r="D17" i="8"/>
  <c r="E13" i="8"/>
  <c r="G13" i="8" s="1"/>
  <c r="F9" i="5"/>
  <c r="E9" i="5"/>
  <c r="AW2" i="9"/>
  <c r="AA41" i="1"/>
  <c r="AB41" i="1" s="1"/>
  <c r="AB13" i="1"/>
  <c r="AW4" i="9"/>
  <c r="AY4" i="9" s="1"/>
  <c r="AU30" i="9" s="1"/>
  <c r="F11" i="5"/>
  <c r="F11" i="9" s="1"/>
  <c r="E11" i="5"/>
  <c r="E11" i="9" s="1"/>
  <c r="E10" i="5"/>
  <c r="E10" i="9" s="1"/>
  <c r="F10" i="5"/>
  <c r="F10" i="9" s="1"/>
  <c r="AW3" i="9"/>
  <c r="AY3" i="9" s="1"/>
  <c r="AU29" i="9" s="1"/>
  <c r="AZ7" i="9"/>
  <c r="D24" i="8"/>
  <c r="AF14" i="5"/>
  <c r="Q14" i="3"/>
  <c r="B49" i="9" s="1"/>
  <c r="AU7" i="9"/>
  <c r="AV13" i="9"/>
  <c r="AX13" i="9" s="1"/>
  <c r="AA42" i="1"/>
  <c r="AB42" i="1" s="1"/>
  <c r="AB14" i="1"/>
  <c r="AV12" i="9"/>
  <c r="E14" i="8"/>
  <c r="G14" i="8" s="1"/>
  <c r="AV29" i="9" s="1"/>
  <c r="E15" i="8"/>
  <c r="AV14" i="9"/>
  <c r="AX14" i="9" s="1"/>
  <c r="AZ6" i="9"/>
  <c r="D23" i="8"/>
  <c r="AF13" i="5"/>
  <c r="Q13" i="3"/>
  <c r="B48" i="9" s="1"/>
  <c r="AU6" i="9"/>
  <c r="AZ8" i="9"/>
  <c r="AF15" i="5"/>
  <c r="D25" i="8"/>
  <c r="AU8" i="9"/>
  <c r="Q15" i="3"/>
  <c r="B50" i="9" s="1"/>
  <c r="K23" i="12"/>
  <c r="K21" i="12"/>
  <c r="K12" i="12"/>
  <c r="K29" i="12"/>
  <c r="K19" i="12"/>
  <c r="K20" i="12"/>
  <c r="K18" i="12"/>
  <c r="K11" i="12"/>
  <c r="K8" i="12"/>
  <c r="K5" i="12"/>
  <c r="K26" i="12"/>
  <c r="K15" i="12"/>
  <c r="K4" i="12"/>
  <c r="K28" i="12"/>
  <c r="K17" i="12"/>
  <c r="K25" i="12"/>
  <c r="K14" i="12"/>
  <c r="K3" i="12"/>
  <c r="K27" i="12"/>
  <c r="K16" i="12"/>
  <c r="BT25" i="9"/>
  <c r="K24" i="12"/>
  <c r="K13" i="12"/>
  <c r="M3" i="12" l="1"/>
  <c r="K85" i="12" s="1"/>
  <c r="M23" i="12"/>
  <c r="K105" i="12" s="1"/>
  <c r="M16" i="12"/>
  <c r="K98" i="12" s="1"/>
  <c r="M27" i="12"/>
  <c r="K109" i="12" s="1"/>
  <c r="M25" i="12"/>
  <c r="K107" i="12" s="1"/>
  <c r="M15" i="12"/>
  <c r="K97" i="12" s="1"/>
  <c r="M5" i="12"/>
  <c r="K87" i="12" s="1"/>
  <c r="M8" i="12"/>
  <c r="K90" i="12" s="1"/>
  <c r="M11" i="12"/>
  <c r="K93" i="12" s="1"/>
  <c r="M13" i="12"/>
  <c r="K95" i="12" s="1"/>
  <c r="M14" i="12"/>
  <c r="K96" i="12" s="1"/>
  <c r="M28" i="12"/>
  <c r="K110" i="12" s="1"/>
  <c r="M26" i="12"/>
  <c r="K108" i="12" s="1"/>
  <c r="M18" i="12"/>
  <c r="K100" i="12" s="1"/>
  <c r="M21" i="12"/>
  <c r="K103" i="12" s="1"/>
  <c r="M24" i="12"/>
  <c r="K106" i="12" s="1"/>
  <c r="M17" i="12"/>
  <c r="K99" i="12" s="1"/>
  <c r="M4" i="12"/>
  <c r="K86" i="12" s="1"/>
  <c r="M20" i="12"/>
  <c r="K102" i="12" s="1"/>
  <c r="M19" i="12"/>
  <c r="K101" i="12" s="1"/>
  <c r="M29" i="12"/>
  <c r="K111" i="12" s="1"/>
  <c r="M12" i="12"/>
  <c r="K94" i="12" s="1"/>
  <c r="AU38" i="9"/>
  <c r="AX12" i="9"/>
  <c r="AA16" i="9"/>
  <c r="BW40" i="9"/>
  <c r="AB44" i="1"/>
  <c r="X52" i="1"/>
  <c r="AA12" i="9"/>
  <c r="AZ9" i="9"/>
  <c r="AW14" i="9"/>
  <c r="AW9" i="9"/>
  <c r="AY9" i="9" s="1"/>
  <c r="AU9" i="9" s="1"/>
  <c r="AY2" i="9"/>
  <c r="AU28" i="9" s="1"/>
  <c r="AU32" i="9" s="1"/>
  <c r="BF30" i="9" s="1"/>
  <c r="K7" i="5"/>
  <c r="AW30" i="9"/>
  <c r="H15" i="8"/>
  <c r="G15" i="8"/>
  <c r="AV30" i="9" s="1"/>
  <c r="AW29" i="9"/>
  <c r="H14" i="8"/>
  <c r="J14" i="8" s="1"/>
  <c r="J7" i="5"/>
  <c r="E9" i="9"/>
  <c r="E31" i="5"/>
  <c r="W12" i="8"/>
  <c r="C72" i="8" s="1"/>
  <c r="AW12" i="9"/>
  <c r="F9" i="9"/>
  <c r="W24" i="8"/>
  <c r="C82" i="8" s="1"/>
  <c r="AV28" i="9"/>
  <c r="E17" i="8"/>
  <c r="H13" i="8"/>
  <c r="J13" i="8" s="1"/>
  <c r="AW28" i="9"/>
  <c r="I7" i="5"/>
  <c r="AW13" i="9"/>
  <c r="H16" i="8"/>
  <c r="AW31" i="9"/>
  <c r="L7" i="5"/>
  <c r="E25" i="8"/>
  <c r="G25" i="8" s="1"/>
  <c r="AV37" i="9" s="1"/>
  <c r="E24" i="8"/>
  <c r="G24" i="8" s="1"/>
  <c r="AV36" i="9" s="1"/>
  <c r="D26" i="8"/>
  <c r="C32" i="8" s="1"/>
  <c r="D32" i="8" s="1"/>
  <c r="E23" i="8"/>
  <c r="G23" i="8" s="1"/>
  <c r="AA10" i="9"/>
  <c r="AA11" i="9"/>
  <c r="G17" i="8" l="1"/>
  <c r="AV32" i="9"/>
  <c r="D35" i="8"/>
  <c r="D34" i="8"/>
  <c r="E33" i="8"/>
  <c r="AY28" i="9"/>
  <c r="P13" i="8"/>
  <c r="L13" i="8"/>
  <c r="D40" i="8"/>
  <c r="E39" i="8"/>
  <c r="BT10" i="9"/>
  <c r="AX19" i="9"/>
  <c r="AW19" i="9" s="1"/>
  <c r="AX28" i="9"/>
  <c r="H17" i="8"/>
  <c r="G26" i="8"/>
  <c r="U39" i="8" s="1"/>
  <c r="AV35" i="9"/>
  <c r="AV38" i="9" s="1"/>
  <c r="BT2" i="9"/>
  <c r="E26" i="8"/>
  <c r="A31" i="8" s="1"/>
  <c r="M8" i="5"/>
  <c r="N8" i="5"/>
  <c r="AA9" i="9"/>
  <c r="J7" i="9"/>
  <c r="J24" i="5"/>
  <c r="AX31" i="9"/>
  <c r="K7" i="9"/>
  <c r="K24" i="5"/>
  <c r="L14" i="8"/>
  <c r="BG12" i="9" s="1"/>
  <c r="P14" i="8"/>
  <c r="BI12" i="9" s="1"/>
  <c r="AY29" i="9"/>
  <c r="BF12" i="9" s="1"/>
  <c r="AX30" i="9"/>
  <c r="J15" i="8"/>
  <c r="AX21" i="9" s="1"/>
  <c r="AW21" i="9" s="1"/>
  <c r="O8" i="5"/>
  <c r="AX29" i="9"/>
  <c r="AX20" i="9"/>
  <c r="AW20" i="9" s="1"/>
  <c r="I29" i="8"/>
  <c r="I7" i="9"/>
  <c r="I24" i="5"/>
  <c r="L7" i="9"/>
  <c r="L24" i="5"/>
  <c r="J16" i="8"/>
  <c r="AW32" i="9"/>
  <c r="BF32" i="9" l="1"/>
  <c r="C34" i="8"/>
  <c r="BJ12" i="9"/>
  <c r="BI3" i="9" s="1"/>
  <c r="H23" i="8"/>
  <c r="H24" i="8"/>
  <c r="Z7" i="5"/>
  <c r="H25" i="8"/>
  <c r="AX32" i="9"/>
  <c r="N14" i="8"/>
  <c r="BH12" i="9" s="1"/>
  <c r="L16" i="8"/>
  <c r="BG14" i="9" s="1"/>
  <c r="P16" i="8"/>
  <c r="BI14" i="9" s="1"/>
  <c r="AY31" i="9"/>
  <c r="BF14" i="9" s="1"/>
  <c r="C35" i="8"/>
  <c r="N8" i="9"/>
  <c r="N24" i="5"/>
  <c r="AW36" i="9" s="1"/>
  <c r="BF11" i="9"/>
  <c r="G29" i="8"/>
  <c r="AX22" i="9"/>
  <c r="AW22" i="9" s="1"/>
  <c r="BG11" i="9"/>
  <c r="N13" i="8"/>
  <c r="J17" i="8"/>
  <c r="D42" i="8"/>
  <c r="BI11" i="9"/>
  <c r="M8" i="9"/>
  <c r="M24" i="5"/>
  <c r="AW35" i="9" s="1"/>
  <c r="O8" i="9"/>
  <c r="O24" i="5"/>
  <c r="AW37" i="9" s="1"/>
  <c r="AY30" i="9"/>
  <c r="BF13" i="9" s="1"/>
  <c r="P15" i="8"/>
  <c r="BI13" i="9" s="1"/>
  <c r="L15" i="8"/>
  <c r="BG13" i="9" s="1"/>
  <c r="C94" i="8" l="1"/>
  <c r="C92" i="8"/>
  <c r="N16" i="8"/>
  <c r="BH14" i="9" s="1"/>
  <c r="BF15" i="9"/>
  <c r="BJ13" i="9"/>
  <c r="BI4" i="9" s="1"/>
  <c r="C33" i="8"/>
  <c r="AY32" i="9"/>
  <c r="L17" i="8"/>
  <c r="N15" i="8"/>
  <c r="BH13" i="9" s="1"/>
  <c r="P17" i="8"/>
  <c r="BH11" i="9"/>
  <c r="BG15" i="9"/>
  <c r="BJ11" i="9"/>
  <c r="AW38" i="9"/>
  <c r="AX37" i="9"/>
  <c r="J25" i="8"/>
  <c r="BJ14" i="9"/>
  <c r="BI5" i="9" s="1"/>
  <c r="Y7" i="9"/>
  <c r="AA7" i="9" s="1"/>
  <c r="Z7" i="1"/>
  <c r="AB7" i="5"/>
  <c r="AC7" i="5"/>
  <c r="AE7" i="5"/>
  <c r="AX36" i="9"/>
  <c r="J24" i="8"/>
  <c r="BI15" i="9"/>
  <c r="H26" i="8"/>
  <c r="AX35" i="9"/>
  <c r="J23" i="8"/>
  <c r="O17" i="8" l="1"/>
  <c r="BH15" i="9"/>
  <c r="N17" i="8"/>
  <c r="C91" i="8" s="1"/>
  <c r="D91" i="8" s="1"/>
  <c r="L19" i="8"/>
  <c r="C90" i="8" s="1"/>
  <c r="D90" i="8" s="1"/>
  <c r="AX38" i="9"/>
  <c r="BI16" i="9"/>
  <c r="AB7" i="1"/>
  <c r="Z35" i="1"/>
  <c r="AB35" i="1" s="1"/>
  <c r="P25" i="8"/>
  <c r="BI20" i="9" s="1"/>
  <c r="L25" i="8"/>
  <c r="BG20" i="9" s="1"/>
  <c r="AY37" i="9"/>
  <c r="BF20" i="9" s="1"/>
  <c r="J26" i="8"/>
  <c r="AY35" i="9"/>
  <c r="L23" i="8"/>
  <c r="N23" i="8" s="1"/>
  <c r="P23" i="8"/>
  <c r="AX23" i="9"/>
  <c r="AW23" i="9" s="1"/>
  <c r="Z8" i="5"/>
  <c r="H29" i="8"/>
  <c r="AX25" i="9"/>
  <c r="AW25" i="9" s="1"/>
  <c r="BI2" i="9"/>
  <c r="BJ15" i="9"/>
  <c r="AY36" i="9"/>
  <c r="BF19" i="9" s="1"/>
  <c r="L24" i="8"/>
  <c r="BG19" i="9" s="1"/>
  <c r="P24" i="8"/>
  <c r="BI19" i="9" s="1"/>
  <c r="W19" i="8"/>
  <c r="C73" i="8" s="1"/>
  <c r="D72" i="8" s="1"/>
  <c r="F72" i="8" s="1"/>
  <c r="G5" i="5"/>
  <c r="AX24" i="9"/>
  <c r="AW24" i="9" s="1"/>
  <c r="J29" i="8" l="1"/>
  <c r="C103" i="8"/>
  <c r="C101" i="8"/>
  <c r="L20" i="8"/>
  <c r="C89" i="8" s="1"/>
  <c r="D89" i="8" s="1"/>
  <c r="F89" i="8" s="1"/>
  <c r="O18" i="8"/>
  <c r="U13" i="8" s="1"/>
  <c r="F8" i="8"/>
  <c r="A37" i="8"/>
  <c r="M19" i="8"/>
  <c r="BJ20" i="9"/>
  <c r="BI8" i="9" s="1"/>
  <c r="N24" i="8"/>
  <c r="BH19" i="9" s="1"/>
  <c r="AY38" i="9"/>
  <c r="BF31" i="9" s="1"/>
  <c r="BF18" i="9"/>
  <c r="BF21" i="9" s="1"/>
  <c r="BH18" i="9"/>
  <c r="BN2" i="9"/>
  <c r="G4" i="5"/>
  <c r="N25" i="8"/>
  <c r="BH20" i="9" s="1"/>
  <c r="G5" i="9"/>
  <c r="AE5" i="5"/>
  <c r="L26" i="8"/>
  <c r="BG18" i="9"/>
  <c r="AB8" i="5"/>
  <c r="Z8" i="1"/>
  <c r="Y8" i="9"/>
  <c r="AA8" i="9" s="1"/>
  <c r="AC8" i="5"/>
  <c r="AE8" i="5"/>
  <c r="E38" i="5" s="1"/>
  <c r="G38" i="5"/>
  <c r="P26" i="8"/>
  <c r="U36" i="8" s="1"/>
  <c r="BI18" i="9"/>
  <c r="BI21" i="9" s="1"/>
  <c r="BF25" i="9" s="1"/>
  <c r="BJ19" i="9"/>
  <c r="BI7" i="9" s="1"/>
  <c r="W11" i="8" l="1"/>
  <c r="M18" i="8"/>
  <c r="U35" i="8"/>
  <c r="L28" i="8"/>
  <c r="C39" i="8"/>
  <c r="C40" i="8" s="1"/>
  <c r="C42" i="8" s="1"/>
  <c r="BJ18" i="9"/>
  <c r="BI6" i="9" s="1"/>
  <c r="BG21" i="9"/>
  <c r="BF24" i="9" s="1"/>
  <c r="BH24" i="9" s="1"/>
  <c r="BH25" i="9" s="1"/>
  <c r="N26" i="8"/>
  <c r="BH21" i="9"/>
  <c r="BI22" i="9" s="1"/>
  <c r="J38" i="5"/>
  <c r="Z36" i="1"/>
  <c r="AB36" i="1" s="1"/>
  <c r="AB8" i="1"/>
  <c r="G4" i="9"/>
  <c r="G24" i="5"/>
  <c r="O26" i="8"/>
  <c r="A41" i="8"/>
  <c r="O27" i="8" l="1"/>
  <c r="U25" i="8" s="1"/>
  <c r="U24" i="8" s="1"/>
  <c r="T3" i="8" s="1"/>
  <c r="C100" i="8"/>
  <c r="D100" i="8" s="1"/>
  <c r="G8" i="8"/>
  <c r="W35" i="8" s="1"/>
  <c r="BE37" i="9" s="1"/>
  <c r="C99" i="8"/>
  <c r="D99" i="8" s="1"/>
  <c r="U10" i="8"/>
  <c r="R2" i="8"/>
  <c r="BG27" i="9"/>
  <c r="BF27" i="9"/>
  <c r="Y35" i="8"/>
  <c r="BF37" i="9" s="1"/>
  <c r="U37" i="8"/>
  <c r="L29" i="8"/>
  <c r="C98" i="8" s="1"/>
  <c r="D98" i="8" s="1"/>
  <c r="F98" i="8" s="1"/>
  <c r="W23" i="8"/>
  <c r="W31" i="8"/>
  <c r="C83" i="8" s="1"/>
  <c r="D82" i="8" s="1"/>
  <c r="F82" i="8" s="1"/>
  <c r="H6" i="5"/>
  <c r="A39" i="8"/>
  <c r="BJ21" i="9"/>
  <c r="BE30" i="9"/>
  <c r="BE32" i="9" s="1"/>
  <c r="BG32" i="9" s="1"/>
  <c r="C43" i="8"/>
  <c r="D43" i="8" s="1"/>
  <c r="D44" i="8" s="1"/>
  <c r="D46" i="8" s="1"/>
  <c r="D48" i="8" s="1"/>
  <c r="BN3" i="9"/>
  <c r="H4" i="5"/>
  <c r="H8" i="8"/>
  <c r="C70" i="8" s="1"/>
  <c r="D70" i="8" s="1"/>
  <c r="BG37" i="9" l="1"/>
  <c r="I8" i="8"/>
  <c r="H4" i="9"/>
  <c r="H24" i="5"/>
  <c r="E4" i="5"/>
  <c r="BN4" i="9"/>
  <c r="W16" i="8"/>
  <c r="W17" i="8"/>
  <c r="C69" i="8" s="1"/>
  <c r="D69" i="8" s="1"/>
  <c r="F69" i="8" s="1"/>
  <c r="H6" i="9"/>
  <c r="AE6" i="5"/>
  <c r="C44" i="8"/>
  <c r="C46" i="8" s="1"/>
  <c r="C48" i="8" s="1"/>
  <c r="W26" i="8"/>
  <c r="R3" i="8"/>
  <c r="W3" i="8" s="1"/>
  <c r="W27" i="8" s="1"/>
  <c r="BT13" i="9" s="1"/>
  <c r="U22" i="8"/>
  <c r="W36" i="8" l="1"/>
  <c r="BE38" i="9" s="1"/>
  <c r="C80" i="8"/>
  <c r="D80" i="8" s="1"/>
  <c r="W29" i="8"/>
  <c r="BH37" i="9"/>
  <c r="BI37" i="9" s="1"/>
  <c r="BN5" i="9"/>
  <c r="BN6" i="9" s="1"/>
  <c r="BN8" i="9" s="1"/>
  <c r="BO4" i="9" s="1"/>
  <c r="W28" i="8"/>
  <c r="Y29" i="8" s="1"/>
  <c r="F4" i="5"/>
  <c r="F4" i="9" s="1"/>
  <c r="Y36" i="8"/>
  <c r="W37" i="8"/>
  <c r="Y17" i="8"/>
  <c r="E4" i="9"/>
  <c r="AA4" i="9" s="1"/>
  <c r="AE4" i="5"/>
  <c r="AC4" i="5"/>
  <c r="E27" i="5"/>
  <c r="U38" i="8"/>
  <c r="Y28" i="8"/>
  <c r="W25" i="8"/>
  <c r="C81" i="8" s="1"/>
  <c r="D81" i="8" s="1"/>
  <c r="W30" i="8" l="1"/>
  <c r="C85" i="8" s="1"/>
  <c r="F27" i="5"/>
  <c r="C79" i="8"/>
  <c r="D79" i="8" s="1"/>
  <c r="F79" i="8" s="1"/>
  <c r="Y37" i="8"/>
  <c r="BF38" i="9"/>
  <c r="BF39" i="9" s="1"/>
  <c r="A43" i="8"/>
  <c r="BG38" i="9"/>
  <c r="BG40" i="9" s="1"/>
  <c r="BH38" i="9"/>
  <c r="BI38" i="9" s="1"/>
  <c r="BE39" i="9"/>
  <c r="U40" i="8"/>
  <c r="S38" i="8"/>
  <c r="AA30" i="8"/>
  <c r="B19" i="10" s="1"/>
  <c r="W5" i="8"/>
  <c r="W8" i="8" s="1"/>
  <c r="F3" i="5" s="1"/>
  <c r="BT11" i="9"/>
  <c r="W32" i="8"/>
  <c r="Y32" i="8"/>
  <c r="I6" i="3" s="1"/>
  <c r="E36" i="5"/>
  <c r="AD4" i="5"/>
  <c r="Q4" i="3" s="1"/>
  <c r="BO6" i="9"/>
  <c r="BO7" i="9"/>
  <c r="BO8" i="9"/>
  <c r="BO2" i="9"/>
  <c r="BO3" i="9"/>
  <c r="BT6" i="9"/>
  <c r="Y19" i="8"/>
  <c r="AA19" i="8" s="1"/>
  <c r="Y31" i="8"/>
  <c r="AA31" i="8" s="1"/>
  <c r="BT14" i="9"/>
  <c r="Y30" i="8"/>
  <c r="BO5" i="9"/>
  <c r="AA6" i="5" l="1"/>
  <c r="C84" i="8"/>
  <c r="BG39" i="9"/>
  <c r="BH39" i="9"/>
  <c r="BI39" i="9" s="1"/>
  <c r="J36" i="5"/>
  <c r="B39" i="9"/>
  <c r="I37" i="3"/>
  <c r="I35" i="3"/>
  <c r="E4" i="3" s="1"/>
  <c r="F64" i="8" s="1"/>
  <c r="F65" i="8" s="1"/>
  <c r="AB6" i="5"/>
  <c r="AA6" i="1"/>
  <c r="Z6" i="9"/>
  <c r="AA6" i="9" s="1"/>
  <c r="AC6" i="5"/>
  <c r="AD6" i="5" s="1"/>
  <c r="Q6" i="3" s="1"/>
  <c r="BT12" i="9"/>
  <c r="N6" i="3"/>
  <c r="P6" i="3" s="1"/>
  <c r="S6" i="3" s="1"/>
  <c r="D41" i="9"/>
  <c r="F3" i="9"/>
  <c r="F24" i="5"/>
  <c r="E70" i="8" l="1"/>
  <c r="E90" i="8"/>
  <c r="F90" i="8" s="1"/>
  <c r="E99" i="8"/>
  <c r="F99" i="8" s="1"/>
  <c r="E41" i="9"/>
  <c r="F84" i="8"/>
  <c r="F70" i="8"/>
  <c r="E80" i="8"/>
  <c r="F80" i="8" s="1"/>
  <c r="AB6" i="1"/>
  <c r="AA34" i="1"/>
  <c r="AB34" i="1" s="1"/>
  <c r="I38" i="3"/>
  <c r="I39" i="3" s="1"/>
  <c r="I40" i="3" s="1"/>
  <c r="I41" i="3" s="1"/>
  <c r="B14" i="10"/>
  <c r="E6" i="3"/>
  <c r="B41" i="9"/>
  <c r="BT15" i="9"/>
  <c r="BU12" i="9" s="1"/>
  <c r="L4" i="3" l="1"/>
  <c r="M4" i="3" s="1"/>
  <c r="N4" i="3" s="1"/>
  <c r="O4" i="3" s="1"/>
  <c r="P4" i="3" s="1"/>
  <c r="I42" i="3"/>
  <c r="BU15" i="9"/>
  <c r="BU10" i="9"/>
  <c r="BU13" i="9"/>
  <c r="B17" i="10" s="1"/>
  <c r="B21" i="10" s="1"/>
  <c r="BU11" i="9"/>
  <c r="BU14" i="9"/>
  <c r="E39" i="9" l="1"/>
  <c r="S4" i="3"/>
  <c r="BV26" i="9"/>
  <c r="BV27" i="9" s="1"/>
  <c r="BT27" i="9" s="1"/>
  <c r="G9" i="4"/>
  <c r="I10" i="4"/>
  <c r="M2" i="8" s="1"/>
  <c r="BT26" i="9" l="1"/>
  <c r="B82" i="12" a="1"/>
  <c r="B82" i="12" s="1"/>
  <c r="E37" i="5"/>
  <c r="O10" i="8"/>
  <c r="U12" i="8" s="1"/>
  <c r="U11" i="8" l="1"/>
  <c r="W14" i="8" s="1"/>
  <c r="B16" i="10"/>
  <c r="T2" i="8"/>
  <c r="W2" i="8" s="1"/>
  <c r="M3" i="8" l="1"/>
  <c r="BT5" i="9"/>
  <c r="W15" i="8"/>
  <c r="Y16" i="8" s="1"/>
  <c r="Y2" i="8"/>
  <c r="W18" i="8"/>
  <c r="W13" i="8"/>
  <c r="AA18" i="8" l="1"/>
  <c r="B18" i="10" s="1"/>
  <c r="B20" i="10" s="1"/>
  <c r="C71" i="8"/>
  <c r="D71" i="8" s="1"/>
  <c r="W4" i="8"/>
  <c r="W7" i="8" s="1"/>
  <c r="E3" i="5" s="1"/>
  <c r="M4" i="8"/>
  <c r="BT3" i="9"/>
  <c r="W20" i="8"/>
  <c r="Y18" i="8"/>
  <c r="Y20" i="8"/>
  <c r="I5" i="3" s="1"/>
  <c r="C75" i="8"/>
  <c r="T5" i="8"/>
  <c r="Z3" i="5"/>
  <c r="G37" i="5"/>
  <c r="J37" i="5" s="1"/>
  <c r="M5" i="8"/>
  <c r="N5" i="3" l="1"/>
  <c r="P5" i="3" s="1"/>
  <c r="D40" i="9"/>
  <c r="I3" i="3"/>
  <c r="E30" i="5"/>
  <c r="E24" i="5"/>
  <c r="H37" i="5"/>
  <c r="E3" i="9"/>
  <c r="AC3" i="5"/>
  <c r="AE3" i="5"/>
  <c r="T4" i="8"/>
  <c r="M6" i="8"/>
  <c r="AB3" i="5"/>
  <c r="Z3" i="1"/>
  <c r="Z24" i="5"/>
  <c r="Y3" i="9"/>
  <c r="AA5" i="5"/>
  <c r="C74" i="8"/>
  <c r="BT4" i="9"/>
  <c r="C27" i="5"/>
  <c r="C26" i="5" s="1"/>
  <c r="F37" i="5"/>
  <c r="I37" i="5" s="1"/>
  <c r="C24" i="9"/>
  <c r="C25" i="9" s="1"/>
  <c r="AD3" i="5" l="1"/>
  <c r="Q3" i="3" s="1"/>
  <c r="B38" i="9" s="1"/>
  <c r="AA5" i="1"/>
  <c r="AB5" i="5"/>
  <c r="AB24" i="5" s="1"/>
  <c r="AC5" i="5"/>
  <c r="AD5" i="5" s="1"/>
  <c r="Q5" i="3" s="1"/>
  <c r="Z5" i="9"/>
  <c r="AA5" i="9" s="1"/>
  <c r="R5" i="3"/>
  <c r="AA24" i="5"/>
  <c r="R12" i="3"/>
  <c r="R20" i="3"/>
  <c r="R23" i="3"/>
  <c r="R2" i="3"/>
  <c r="R22" i="3"/>
  <c r="R4" i="3"/>
  <c r="R17" i="3"/>
  <c r="R13" i="3"/>
  <c r="R15" i="3"/>
  <c r="R25" i="3"/>
  <c r="R6" i="3"/>
  <c r="R11" i="3"/>
  <c r="R3" i="3"/>
  <c r="R10" i="3"/>
  <c r="R14" i="3"/>
  <c r="R18" i="3"/>
  <c r="R21" i="3"/>
  <c r="R7" i="3"/>
  <c r="R9" i="3"/>
  <c r="R8" i="3"/>
  <c r="R16" i="3"/>
  <c r="R19" i="3"/>
  <c r="Z31" i="1"/>
  <c r="AB31" i="1" s="1"/>
  <c r="AB3" i="1"/>
  <c r="Z24" i="1"/>
  <c r="AA3" i="9"/>
  <c r="C78" i="9"/>
  <c r="C64" i="9"/>
  <c r="C72" i="9"/>
  <c r="C83" i="9"/>
  <c r="C75" i="9"/>
  <c r="C77" i="9"/>
  <c r="C79" i="9"/>
  <c r="C74" i="9"/>
  <c r="C70" i="9"/>
  <c r="C82" i="9"/>
  <c r="C69" i="9"/>
  <c r="C80" i="9"/>
  <c r="C66" i="9"/>
  <c r="C81" i="9"/>
  <c r="C73" i="9"/>
  <c r="C76" i="9"/>
  <c r="C68" i="9"/>
  <c r="C84" i="9"/>
  <c r="C71" i="9"/>
  <c r="C65" i="9"/>
  <c r="C67" i="9"/>
  <c r="C85" i="9"/>
  <c r="BT7" i="9"/>
  <c r="BU4" i="9" s="1"/>
  <c r="D38" i="9"/>
  <c r="N3" i="3"/>
  <c r="P3" i="3" s="1"/>
  <c r="E40" i="9"/>
  <c r="B27" i="9" l="1" a="1"/>
  <c r="B27" i="9" s="1"/>
  <c r="B25" i="5" a="1"/>
  <c r="O5" i="1" s="1"/>
  <c r="BU7" i="9"/>
  <c r="BU2" i="9"/>
  <c r="BU6" i="9"/>
  <c r="BU5" i="9"/>
  <c r="BU3" i="9"/>
  <c r="E71" i="8"/>
  <c r="S3" i="3"/>
  <c r="E38" i="9"/>
  <c r="C86" i="9"/>
  <c r="E5" i="3"/>
  <c r="B40" i="9"/>
  <c r="K10" i="1"/>
  <c r="B25" i="5"/>
  <c r="F74" i="8"/>
  <c r="S5" i="3"/>
  <c r="AC24" i="5"/>
  <c r="AA24" i="1"/>
  <c r="AA33" i="1"/>
  <c r="AB5" i="1"/>
  <c r="AB24" i="1" s="1"/>
  <c r="M26" i="5" l="1"/>
  <c r="E22" i="1"/>
  <c r="T4" i="1"/>
  <c r="J22" i="1"/>
  <c r="J26" i="5"/>
  <c r="T9" i="1"/>
  <c r="U18" i="1"/>
  <c r="L8" i="1"/>
  <c r="F24" i="9"/>
  <c r="F25" i="9" s="1"/>
  <c r="F64" i="9" s="1"/>
  <c r="P14" i="1"/>
  <c r="S23" i="1"/>
  <c r="O3" i="1"/>
  <c r="T26" i="5"/>
  <c r="AJ23" i="9" s="1"/>
  <c r="AJ24" i="9" s="1"/>
  <c r="AJ27" i="9" s="1"/>
  <c r="AJ31" i="9" s="1"/>
  <c r="M17" i="1"/>
  <c r="C14" i="1"/>
  <c r="O22" i="1"/>
  <c r="N12" i="1"/>
  <c r="H4" i="1"/>
  <c r="S7" i="1"/>
  <c r="T3" i="1"/>
  <c r="R15" i="1"/>
  <c r="K3" i="1"/>
  <c r="K12" i="1"/>
  <c r="Q20" i="1"/>
  <c r="D5" i="1"/>
  <c r="I4" i="1"/>
  <c r="J4" i="1"/>
  <c r="S3" i="1"/>
  <c r="M6" i="1"/>
  <c r="N10" i="1"/>
  <c r="M4" i="1"/>
  <c r="U7" i="1"/>
  <c r="Q12" i="1"/>
  <c r="R3" i="1"/>
  <c r="R18" i="1"/>
  <c r="L13" i="1"/>
  <c r="V18" i="1"/>
  <c r="E11" i="1"/>
  <c r="F13" i="1"/>
  <c r="D15" i="1"/>
  <c r="C10" i="1"/>
  <c r="V26" i="5"/>
  <c r="AL23" i="9" s="1"/>
  <c r="AL24" i="9" s="1"/>
  <c r="AL27" i="9" s="1"/>
  <c r="AL31" i="9" s="1"/>
  <c r="K9" i="1"/>
  <c r="R19" i="1"/>
  <c r="T5" i="1"/>
  <c r="V19" i="1"/>
  <c r="U3" i="1"/>
  <c r="I7" i="1"/>
  <c r="G2" i="1"/>
  <c r="K20" i="1"/>
  <c r="P16" i="1"/>
  <c r="I19" i="1"/>
  <c r="C15" i="1"/>
  <c r="J9" i="1"/>
  <c r="V12" i="1"/>
  <c r="E26" i="5"/>
  <c r="F20" i="1"/>
  <c r="G8" i="1"/>
  <c r="F3" i="1"/>
  <c r="V10" i="1"/>
  <c r="D7" i="1"/>
  <c r="N17" i="1"/>
  <c r="K18" i="1"/>
  <c r="K13" i="1"/>
  <c r="R6" i="1"/>
  <c r="F23" i="1"/>
  <c r="F6" i="1"/>
  <c r="V7" i="1"/>
  <c r="J2" i="1"/>
  <c r="O12" i="1"/>
  <c r="Q9" i="1"/>
  <c r="W4" i="1"/>
  <c r="J10" i="1"/>
  <c r="R26" i="5"/>
  <c r="AH23" i="9" s="1"/>
  <c r="AH24" i="9" s="1"/>
  <c r="AH27" i="9" s="1"/>
  <c r="AH31" i="9" s="1"/>
  <c r="Q17" i="1"/>
  <c r="S17" i="1"/>
  <c r="P10" i="1"/>
  <c r="P18" i="1"/>
  <c r="J12" i="1"/>
  <c r="I18" i="1"/>
  <c r="U15" i="1"/>
  <c r="S19" i="1"/>
  <c r="L10" i="1"/>
  <c r="H13" i="1"/>
  <c r="O8" i="1"/>
  <c r="L6" i="1"/>
  <c r="T17" i="1"/>
  <c r="R4" i="1"/>
  <c r="D13" i="1"/>
  <c r="G23" i="1"/>
  <c r="J15" i="1"/>
  <c r="D4" i="1"/>
  <c r="K8" i="1"/>
  <c r="D11" i="1"/>
  <c r="N9" i="1"/>
  <c r="L2" i="1"/>
  <c r="P7" i="1"/>
  <c r="F19" i="1"/>
  <c r="F26" i="5"/>
  <c r="U17" i="1"/>
  <c r="W17" i="1"/>
  <c r="F8" i="1"/>
  <c r="U16" i="1"/>
  <c r="H15" i="1"/>
  <c r="J7" i="1"/>
  <c r="H10" i="1"/>
  <c r="R13" i="1"/>
  <c r="O10" i="1"/>
  <c r="W8" i="1"/>
  <c r="L26" i="5"/>
  <c r="I9" i="1"/>
  <c r="D9" i="1"/>
  <c r="V21" i="1"/>
  <c r="R11" i="1"/>
  <c r="H6" i="1"/>
  <c r="C3" i="1"/>
  <c r="F21" i="1"/>
  <c r="Q23" i="1"/>
  <c r="E5" i="1"/>
  <c r="T10" i="1"/>
  <c r="V20" i="1"/>
  <c r="O16" i="1"/>
  <c r="T23" i="1"/>
  <c r="H7" i="1"/>
  <c r="K23" i="1"/>
  <c r="E23" i="1"/>
  <c r="O13" i="1"/>
  <c r="C7" i="1"/>
  <c r="S21" i="1"/>
  <c r="P24" i="9"/>
  <c r="P25" i="9" s="1"/>
  <c r="P76" i="9" s="1"/>
  <c r="J16" i="1"/>
  <c r="G17" i="1"/>
  <c r="H23" i="1"/>
  <c r="F18" i="1"/>
  <c r="E12" i="1"/>
  <c r="C2" i="1"/>
  <c r="J14" i="1"/>
  <c r="J17" i="1"/>
  <c r="J20" i="1"/>
  <c r="N15" i="1"/>
  <c r="G5" i="1"/>
  <c r="C11" i="1"/>
  <c r="W16" i="1"/>
  <c r="T2" i="1"/>
  <c r="W6" i="1"/>
  <c r="R16" i="1"/>
  <c r="M8" i="1"/>
  <c r="L4" i="1"/>
  <c r="G14" i="1"/>
  <c r="W21" i="1"/>
  <c r="E13" i="1"/>
  <c r="K6" i="1"/>
  <c r="R24" i="9"/>
  <c r="R25" i="9" s="1"/>
  <c r="R75" i="9" s="1"/>
  <c r="O24" i="9"/>
  <c r="O25" i="9" s="1"/>
  <c r="O84" i="9" s="1"/>
  <c r="C20" i="1"/>
  <c r="K4" i="1"/>
  <c r="O17" i="1"/>
  <c r="C18" i="1"/>
  <c r="U5" i="1"/>
  <c r="O11" i="1"/>
  <c r="W15" i="1"/>
  <c r="E7" i="1"/>
  <c r="W22" i="1"/>
  <c r="W20" i="1"/>
  <c r="N26" i="5"/>
  <c r="M13" i="1"/>
  <c r="G16" i="1"/>
  <c r="L7" i="1"/>
  <c r="U13" i="1"/>
  <c r="L9" i="1"/>
  <c r="U14" i="1"/>
  <c r="C17" i="1"/>
  <c r="T13" i="1"/>
  <c r="I6" i="1"/>
  <c r="L14" i="1"/>
  <c r="S2" i="1"/>
  <c r="K7" i="1"/>
  <c r="S26" i="5"/>
  <c r="AI23" i="9" s="1"/>
  <c r="AI24" i="9" s="1"/>
  <c r="AI27" i="9" s="1"/>
  <c r="AI31" i="9" s="1"/>
  <c r="T7" i="1"/>
  <c r="M7" i="1"/>
  <c r="I26" i="5"/>
  <c r="R7" i="1"/>
  <c r="M24" i="9"/>
  <c r="M25" i="9" s="1"/>
  <c r="M70" i="9" s="1"/>
  <c r="J18" i="1"/>
  <c r="S16" i="1"/>
  <c r="U11" i="1"/>
  <c r="S5" i="1"/>
  <c r="W9" i="1"/>
  <c r="H2" i="1"/>
  <c r="E14" i="1"/>
  <c r="U24" i="9"/>
  <c r="U25" i="9" s="1"/>
  <c r="U71" i="9" s="1"/>
  <c r="Q16" i="1"/>
  <c r="G22" i="1"/>
  <c r="D10" i="1"/>
  <c r="W26" i="5"/>
  <c r="AM23" i="9" s="1"/>
  <c r="AM24" i="9" s="1"/>
  <c r="AM27" i="9" s="1"/>
  <c r="AM31" i="9" s="1"/>
  <c r="T12" i="1"/>
  <c r="K21" i="1"/>
  <c r="G6" i="1"/>
  <c r="J3" i="1"/>
  <c r="E6" i="1"/>
  <c r="N23" i="1"/>
  <c r="Q14" i="1"/>
  <c r="L21" i="1"/>
  <c r="F15" i="1"/>
  <c r="N22" i="1"/>
  <c r="G21" i="1"/>
  <c r="Q21" i="1"/>
  <c r="L15" i="1"/>
  <c r="H9" i="1"/>
  <c r="D2" i="1"/>
  <c r="I16" i="1"/>
  <c r="F11" i="1"/>
  <c r="W23" i="1"/>
  <c r="E8" i="1"/>
  <c r="E20" i="1"/>
  <c r="O14" i="1"/>
  <c r="D21" i="1"/>
  <c r="K15" i="1"/>
  <c r="H26" i="5"/>
  <c r="U2" i="1"/>
  <c r="N5" i="1"/>
  <c r="W13" i="1"/>
  <c r="F14" i="1"/>
  <c r="L24" i="9"/>
  <c r="L25" i="9" s="1"/>
  <c r="L71" i="9" s="1"/>
  <c r="U22" i="1"/>
  <c r="W2" i="1"/>
  <c r="I21" i="1"/>
  <c r="G10" i="1"/>
  <c r="V13" i="1"/>
  <c r="F16" i="1"/>
  <c r="G15" i="1"/>
  <c r="T22" i="1"/>
  <c r="P19" i="1"/>
  <c r="L12" i="1"/>
  <c r="J21" i="1"/>
  <c r="H17" i="1"/>
  <c r="O23" i="1"/>
  <c r="D24" i="9"/>
  <c r="D25" i="9" s="1"/>
  <c r="D84" i="9" s="1"/>
  <c r="F2" i="1"/>
  <c r="W14" i="1"/>
  <c r="V15" i="1"/>
  <c r="O7" i="1"/>
  <c r="P23" i="1"/>
  <c r="D22" i="1"/>
  <c r="D3" i="1"/>
  <c r="E19" i="1"/>
  <c r="L17" i="1"/>
  <c r="J24" i="9"/>
  <c r="J25" i="9" s="1"/>
  <c r="J80" i="9" s="1"/>
  <c r="Q19" i="1"/>
  <c r="D18" i="1"/>
  <c r="C12" i="1"/>
  <c r="N20" i="1"/>
  <c r="S13" i="1"/>
  <c r="U8" i="1"/>
  <c r="T15" i="1"/>
  <c r="J19" i="1"/>
  <c r="R9" i="1"/>
  <c r="S20" i="1"/>
  <c r="M14" i="1"/>
  <c r="L19" i="1"/>
  <c r="R10" i="1"/>
  <c r="U6" i="1"/>
  <c r="O26" i="5"/>
  <c r="K26" i="5"/>
  <c r="O18" i="1"/>
  <c r="C23" i="1"/>
  <c r="Q24" i="9"/>
  <c r="Q25" i="9" s="1"/>
  <c r="K22" i="1"/>
  <c r="S9" i="1"/>
  <c r="J5" i="1"/>
  <c r="O27" i="5"/>
  <c r="O20" i="1"/>
  <c r="P21" i="1"/>
  <c r="I12" i="1"/>
  <c r="K14" i="1"/>
  <c r="I15" i="1"/>
  <c r="S24" i="9"/>
  <c r="S25" i="9" s="1"/>
  <c r="S82" i="9" s="1"/>
  <c r="I5" i="1"/>
  <c r="W19" i="1"/>
  <c r="H24" i="9"/>
  <c r="H25" i="9" s="1"/>
  <c r="H82" i="9" s="1"/>
  <c r="P20" i="1"/>
  <c r="I13" i="1"/>
  <c r="Q6" i="1"/>
  <c r="H3" i="1"/>
  <c r="P13" i="1"/>
  <c r="V5" i="1"/>
  <c r="U20" i="1"/>
  <c r="P8" i="1"/>
  <c r="C16" i="1"/>
  <c r="D12" i="1"/>
  <c r="M22" i="1"/>
  <c r="N16" i="1"/>
  <c r="S15" i="1"/>
  <c r="H14" i="1"/>
  <c r="C8" i="1"/>
  <c r="M16" i="1"/>
  <c r="R22" i="1"/>
  <c r="T19" i="1"/>
  <c r="H8" i="1"/>
  <c r="M2" i="1"/>
  <c r="F22" i="1"/>
  <c r="D17" i="1"/>
  <c r="D8" i="1"/>
  <c r="N6" i="1"/>
  <c r="O9" i="1"/>
  <c r="L20" i="1"/>
  <c r="P5" i="1"/>
  <c r="S22" i="1"/>
  <c r="T24" i="9"/>
  <c r="T25" i="9" s="1"/>
  <c r="P12" i="1"/>
  <c r="M21" i="1"/>
  <c r="M5" i="1"/>
  <c r="Q10" i="1"/>
  <c r="H16" i="1"/>
  <c r="N14" i="1"/>
  <c r="H18" i="1"/>
  <c r="O21" i="1"/>
  <c r="Y51" i="5"/>
  <c r="H39" i="5" s="1"/>
  <c r="O2" i="1"/>
  <c r="E10" i="1"/>
  <c r="S4" i="1"/>
  <c r="M23" i="1"/>
  <c r="K5" i="1"/>
  <c r="J13" i="1"/>
  <c r="E4" i="1"/>
  <c r="C22" i="1"/>
  <c r="V9" i="1"/>
  <c r="E24" i="9"/>
  <c r="E25" i="9" s="1"/>
  <c r="E83" i="9" s="1"/>
  <c r="H19" i="1"/>
  <c r="N24" i="9"/>
  <c r="N25" i="9" s="1"/>
  <c r="N69" i="9" s="1"/>
  <c r="Q7" i="1"/>
  <c r="E3" i="1"/>
  <c r="C9" i="1"/>
  <c r="E9" i="1"/>
  <c r="R21" i="1"/>
  <c r="E17" i="1"/>
  <c r="W10" i="1"/>
  <c r="G3" i="1"/>
  <c r="M3" i="1"/>
  <c r="C5" i="1"/>
  <c r="I20" i="1"/>
  <c r="R17" i="1"/>
  <c r="F4" i="1"/>
  <c r="U21" i="1"/>
  <c r="P4" i="1"/>
  <c r="I27" i="5"/>
  <c r="J27" i="5" s="1"/>
  <c r="K2" i="1"/>
  <c r="L23" i="1"/>
  <c r="F5" i="1"/>
  <c r="Q18" i="1"/>
  <c r="P26" i="5"/>
  <c r="AF23" i="9" s="1"/>
  <c r="Q22" i="1"/>
  <c r="D23" i="1"/>
  <c r="G18" i="1"/>
  <c r="U9" i="1"/>
  <c r="N27" i="5"/>
  <c r="R5" i="1"/>
  <c r="C21" i="1"/>
  <c r="D16" i="1"/>
  <c r="L5" i="1"/>
  <c r="M15" i="1"/>
  <c r="L18" i="1"/>
  <c r="I17" i="1"/>
  <c r="W3" i="1"/>
  <c r="V14" i="1"/>
  <c r="N7" i="1"/>
  <c r="V4" i="1"/>
  <c r="R8" i="1"/>
  <c r="M9" i="1"/>
  <c r="H5" i="1"/>
  <c r="N13" i="1"/>
  <c r="I2" i="1"/>
  <c r="L22" i="1"/>
  <c r="W24" i="9"/>
  <c r="W25" i="9" s="1"/>
  <c r="W74" i="9" s="1"/>
  <c r="P22" i="1"/>
  <c r="Q2" i="1"/>
  <c r="G24" i="9"/>
  <c r="G25" i="9" s="1"/>
  <c r="G68" i="9" s="1"/>
  <c r="T18" i="1"/>
  <c r="V24" i="9"/>
  <c r="V25" i="9" s="1"/>
  <c r="V82" i="9" s="1"/>
  <c r="P6" i="1"/>
  <c r="R12" i="1"/>
  <c r="R14" i="1"/>
  <c r="O19" i="1"/>
  <c r="Q15" i="1"/>
  <c r="Q3" i="1"/>
  <c r="P9" i="1"/>
  <c r="M11" i="1"/>
  <c r="T11" i="1"/>
  <c r="Q5" i="1"/>
  <c r="U26" i="5"/>
  <c r="AK23" i="9" s="1"/>
  <c r="AK24" i="9" s="1"/>
  <c r="AK27" i="9" s="1"/>
  <c r="AK31" i="9" s="1"/>
  <c r="O4" i="1"/>
  <c r="H22" i="1"/>
  <c r="I8" i="1"/>
  <c r="I24" i="9"/>
  <c r="I25" i="9" s="1"/>
  <c r="I84" i="9" s="1"/>
  <c r="S11" i="1"/>
  <c r="F17" i="1"/>
  <c r="R2" i="1"/>
  <c r="T14" i="1"/>
  <c r="I3" i="1"/>
  <c r="P11" i="1"/>
  <c r="W5" i="1"/>
  <c r="E2" i="1"/>
  <c r="N18" i="1"/>
  <c r="Q4" i="1"/>
  <c r="L16" i="1"/>
  <c r="D26" i="5"/>
  <c r="G11" i="1"/>
  <c r="P2" i="1"/>
  <c r="L3" i="1"/>
  <c r="M19" i="1"/>
  <c r="V2" i="1"/>
  <c r="I23" i="1"/>
  <c r="N2" i="1"/>
  <c r="S14" i="1"/>
  <c r="M10" i="1"/>
  <c r="U12" i="1"/>
  <c r="Q8" i="1"/>
  <c r="G4" i="1"/>
  <c r="M12" i="1"/>
  <c r="F9" i="1"/>
  <c r="S12" i="1"/>
  <c r="F12" i="1"/>
  <c r="V6" i="1"/>
  <c r="Q11" i="1"/>
  <c r="I14" i="1"/>
  <c r="V17" i="1"/>
  <c r="D20" i="1"/>
  <c r="G26" i="5"/>
  <c r="P17" i="1"/>
  <c r="F7" i="1"/>
  <c r="E15" i="1"/>
  <c r="N11" i="1"/>
  <c r="K16" i="1"/>
  <c r="C19" i="1"/>
  <c r="N21" i="1"/>
  <c r="I10" i="1"/>
  <c r="J6" i="1"/>
  <c r="O6" i="1"/>
  <c r="R20" i="1"/>
  <c r="V16" i="1"/>
  <c r="T8" i="1"/>
  <c r="K19" i="1"/>
  <c r="J11" i="1"/>
  <c r="G19" i="1"/>
  <c r="E16" i="1"/>
  <c r="T20" i="1"/>
  <c r="V22" i="1"/>
  <c r="C4" i="1"/>
  <c r="N19" i="1"/>
  <c r="J8" i="1"/>
  <c r="W11" i="1"/>
  <c r="U10" i="1"/>
  <c r="V23" i="1"/>
  <c r="N4" i="1"/>
  <c r="U19" i="1"/>
  <c r="E18" i="1"/>
  <c r="M18" i="1"/>
  <c r="G9" i="1"/>
  <c r="T16" i="1"/>
  <c r="N8" i="1"/>
  <c r="Q13" i="1"/>
  <c r="P3" i="1"/>
  <c r="V3" i="1"/>
  <c r="U4" i="1"/>
  <c r="L11" i="1"/>
  <c r="G12" i="1"/>
  <c r="H21" i="1"/>
  <c r="I11" i="1"/>
  <c r="M27" i="5"/>
  <c r="W12" i="1"/>
  <c r="V11" i="1"/>
  <c r="K11" i="1"/>
  <c r="P15" i="1"/>
  <c r="K17" i="1"/>
  <c r="S18" i="1"/>
  <c r="C13" i="1"/>
  <c r="V8" i="1"/>
  <c r="D19" i="1"/>
  <c r="S8" i="1"/>
  <c r="D6" i="1"/>
  <c r="O15" i="1"/>
  <c r="T6" i="1"/>
  <c r="D14" i="1"/>
  <c r="K24" i="9"/>
  <c r="K25" i="9" s="1"/>
  <c r="K64" i="9" s="1"/>
  <c r="H12" i="1"/>
  <c r="M20" i="1"/>
  <c r="E21" i="1"/>
  <c r="H11" i="1"/>
  <c r="J23" i="1"/>
  <c r="F10" i="1"/>
  <c r="C6" i="1"/>
  <c r="N3" i="1"/>
  <c r="G20" i="1"/>
  <c r="T21" i="1"/>
  <c r="W7" i="1"/>
  <c r="R23" i="1"/>
  <c r="H20" i="1"/>
  <c r="W18" i="1"/>
  <c r="S10" i="1"/>
  <c r="Q26" i="5"/>
  <c r="AG23" i="9" s="1"/>
  <c r="AG24" i="9" s="1"/>
  <c r="AG27" i="9" s="1"/>
  <c r="AG31" i="9" s="1"/>
  <c r="G7" i="1"/>
  <c r="G13" i="1"/>
  <c r="S6" i="1"/>
  <c r="I22" i="1"/>
  <c r="U23" i="1"/>
  <c r="O76" i="9"/>
  <c r="M75" i="9"/>
  <c r="M83" i="9"/>
  <c r="M64" i="9"/>
  <c r="M69" i="9"/>
  <c r="M67" i="9"/>
  <c r="M65" i="9"/>
  <c r="M79" i="9"/>
  <c r="M84" i="9"/>
  <c r="M82" i="9"/>
  <c r="M85" i="9"/>
  <c r="M74" i="9"/>
  <c r="M81" i="9"/>
  <c r="M73" i="9"/>
  <c r="M76" i="9"/>
  <c r="M72" i="9"/>
  <c r="M68" i="9"/>
  <c r="M77" i="9"/>
  <c r="M66" i="9"/>
  <c r="P80" i="9"/>
  <c r="P73" i="9"/>
  <c r="G66" i="9"/>
  <c r="G73" i="9"/>
  <c r="G83" i="9"/>
  <c r="G70" i="9"/>
  <c r="G69" i="9"/>
  <c r="G76" i="9"/>
  <c r="G84" i="9"/>
  <c r="G81" i="9"/>
  <c r="G67" i="9"/>
  <c r="G75" i="9"/>
  <c r="G74" i="9"/>
  <c r="G65" i="9"/>
  <c r="G78" i="9"/>
  <c r="G85" i="9"/>
  <c r="G82" i="9"/>
  <c r="G71" i="9"/>
  <c r="G79" i="9"/>
  <c r="G72" i="9"/>
  <c r="G80" i="9"/>
  <c r="G77" i="9"/>
  <c r="L72" i="9"/>
  <c r="L68" i="9"/>
  <c r="L84" i="9"/>
  <c r="L74" i="9"/>
  <c r="L64" i="9"/>
  <c r="L85" i="9"/>
  <c r="L66" i="9"/>
  <c r="L67" i="9"/>
  <c r="L83" i="9"/>
  <c r="L82" i="9"/>
  <c r="L70" i="9"/>
  <c r="L77" i="9"/>
  <c r="L75" i="9"/>
  <c r="L80" i="9"/>
  <c r="L65" i="9"/>
  <c r="L78" i="9"/>
  <c r="L79" i="9"/>
  <c r="L76" i="9"/>
  <c r="L81" i="9"/>
  <c r="L73" i="9"/>
  <c r="V74" i="9"/>
  <c r="V70" i="9"/>
  <c r="V79" i="9"/>
  <c r="V75" i="9"/>
  <c r="V68" i="9"/>
  <c r="V73" i="9"/>
  <c r="V83" i="9"/>
  <c r="V66" i="9"/>
  <c r="V76" i="9"/>
  <c r="V84" i="9"/>
  <c r="V69" i="9"/>
  <c r="V78" i="9"/>
  <c r="V72" i="9"/>
  <c r="V71" i="9"/>
  <c r="U83" i="9"/>
  <c r="U66" i="9"/>
  <c r="U81" i="9"/>
  <c r="U79" i="9"/>
  <c r="Q64" i="9"/>
  <c r="Q68" i="9"/>
  <c r="Q85" i="9"/>
  <c r="Q74" i="9"/>
  <c r="Q81" i="9"/>
  <c r="Q70" i="9"/>
  <c r="Q73" i="9"/>
  <c r="Q78" i="9"/>
  <c r="Q77" i="9"/>
  <c r="Q72" i="9"/>
  <c r="Q84" i="9"/>
  <c r="Q67" i="9"/>
  <c r="Q82" i="9"/>
  <c r="Q69" i="9"/>
  <c r="Q83" i="9"/>
  <c r="Q76" i="9"/>
  <c r="Q71" i="9"/>
  <c r="Q80" i="9"/>
  <c r="Q79" i="9"/>
  <c r="Q65" i="9"/>
  <c r="Q66" i="9"/>
  <c r="Q75" i="9"/>
  <c r="AB33" i="1"/>
  <c r="AB52" i="1" s="1"/>
  <c r="AA52" i="1"/>
  <c r="F71" i="9"/>
  <c r="F83" i="9"/>
  <c r="F74" i="9"/>
  <c r="F81" i="9"/>
  <c r="F79" i="9"/>
  <c r="F77" i="9"/>
  <c r="F76" i="9"/>
  <c r="F80" i="9"/>
  <c r="F68" i="9"/>
  <c r="F67" i="9"/>
  <c r="F66" i="9"/>
  <c r="F75" i="9"/>
  <c r="F69" i="9"/>
  <c r="F84" i="9"/>
  <c r="F82" i="9"/>
  <c r="F72" i="9"/>
  <c r="F65" i="9"/>
  <c r="F85" i="9"/>
  <c r="F73" i="9"/>
  <c r="F78" i="9"/>
  <c r="F70" i="9"/>
  <c r="E81" i="8"/>
  <c r="F81" i="8" s="1"/>
  <c r="F83" i="8" s="1"/>
  <c r="F85" i="8" s="1"/>
  <c r="E100" i="8" s="1"/>
  <c r="F100" i="8" s="1"/>
  <c r="F101" i="8" s="1"/>
  <c r="F103" i="8" s="1"/>
  <c r="F71" i="8"/>
  <c r="F73" i="8" s="1"/>
  <c r="F75" i="8" s="1"/>
  <c r="E91" i="8" s="1"/>
  <c r="F91" i="8" s="1"/>
  <c r="F92" i="8" s="1"/>
  <c r="F94" i="8" s="1"/>
  <c r="L27" i="5"/>
  <c r="K27" i="5"/>
  <c r="J84" i="9"/>
  <c r="J75" i="9"/>
  <c r="J79" i="9"/>
  <c r="J78" i="9"/>
  <c r="J72" i="9"/>
  <c r="J83" i="9"/>
  <c r="J77" i="9"/>
  <c r="J70" i="9"/>
  <c r="J82" i="9"/>
  <c r="J71" i="9"/>
  <c r="J67" i="9"/>
  <c r="J81" i="9"/>
  <c r="J66" i="9"/>
  <c r="J74" i="9"/>
  <c r="J73" i="9"/>
  <c r="J65" i="9"/>
  <c r="J69" i="9"/>
  <c r="J64" i="9"/>
  <c r="D64" i="9"/>
  <c r="D70" i="9"/>
  <c r="B20" i="1"/>
  <c r="B9" i="1"/>
  <c r="B17" i="1"/>
  <c r="B21" i="1"/>
  <c r="B22" i="1"/>
  <c r="B10" i="1"/>
  <c r="B13" i="1"/>
  <c r="B12" i="1"/>
  <c r="B6" i="1"/>
  <c r="B11" i="1"/>
  <c r="B15" i="1"/>
  <c r="B3" i="1"/>
  <c r="B4" i="1"/>
  <c r="B2" i="1"/>
  <c r="B16" i="1"/>
  <c r="B8" i="1"/>
  <c r="B24" i="9"/>
  <c r="B25" i="9" s="1"/>
  <c r="B19" i="1"/>
  <c r="B14" i="1"/>
  <c r="B5" i="1"/>
  <c r="B23" i="1"/>
  <c r="B7" i="1"/>
  <c r="B18" i="1"/>
  <c r="H78" i="9"/>
  <c r="H65" i="9"/>
  <c r="H84" i="9"/>
  <c r="H67" i="9"/>
  <c r="H69" i="9"/>
  <c r="H71" i="9"/>
  <c r="H79" i="9"/>
  <c r="H76" i="9"/>
  <c r="H77" i="9"/>
  <c r="H75" i="9"/>
  <c r="H64" i="9"/>
  <c r="T85" i="9"/>
  <c r="T82" i="9"/>
  <c r="T76" i="9"/>
  <c r="T84" i="9"/>
  <c r="T70" i="9"/>
  <c r="T81" i="9"/>
  <c r="T65" i="9"/>
  <c r="T77" i="9"/>
  <c r="T68" i="9"/>
  <c r="T67" i="9"/>
  <c r="T66" i="9"/>
  <c r="T74" i="9"/>
  <c r="T78" i="9"/>
  <c r="T72" i="9"/>
  <c r="T73" i="9"/>
  <c r="T64" i="9"/>
  <c r="T75" i="9"/>
  <c r="T69" i="9"/>
  <c r="T71" i="9"/>
  <c r="T80" i="9"/>
  <c r="T83" i="9"/>
  <c r="T79" i="9"/>
  <c r="R78" i="9"/>
  <c r="R77" i="9"/>
  <c r="R76" i="9" l="1"/>
  <c r="R70" i="9"/>
  <c r="U69" i="9"/>
  <c r="R65" i="9"/>
  <c r="R71" i="9"/>
  <c r="U72" i="9"/>
  <c r="R82" i="9"/>
  <c r="D76" i="9"/>
  <c r="U74" i="9"/>
  <c r="V77" i="9"/>
  <c r="U67" i="9"/>
  <c r="E81" i="9"/>
  <c r="D78" i="9"/>
  <c r="U77" i="9"/>
  <c r="D71" i="9"/>
  <c r="U85" i="9"/>
  <c r="V81" i="9"/>
  <c r="U68" i="9"/>
  <c r="R73" i="9"/>
  <c r="E65" i="9"/>
  <c r="E86" i="9" s="1"/>
  <c r="R83" i="9"/>
  <c r="F36" i="5"/>
  <c r="I36" i="5" s="1"/>
  <c r="S75" i="9"/>
  <c r="S71" i="9"/>
  <c r="S68" i="9"/>
  <c r="D65" i="9"/>
  <c r="U82" i="9"/>
  <c r="V67" i="9"/>
  <c r="R84" i="9"/>
  <c r="S76" i="9"/>
  <c r="D68" i="9"/>
  <c r="U75" i="9"/>
  <c r="V64" i="9"/>
  <c r="Q24" i="1"/>
  <c r="Q87" i="9" s="1"/>
  <c r="S77" i="9"/>
  <c r="R66" i="9"/>
  <c r="S65" i="9"/>
  <c r="R74" i="9"/>
  <c r="S73" i="9"/>
  <c r="D85" i="9"/>
  <c r="U76" i="9"/>
  <c r="V85" i="9"/>
  <c r="V86" i="9" s="1"/>
  <c r="F38" i="5"/>
  <c r="I38" i="5" s="1"/>
  <c r="U78" i="9"/>
  <c r="D82" i="9"/>
  <c r="U70" i="9"/>
  <c r="R69" i="9"/>
  <c r="D81" i="9"/>
  <c r="J76" i="9"/>
  <c r="U84" i="9"/>
  <c r="V65" i="9"/>
  <c r="L69" i="9"/>
  <c r="M80" i="9"/>
  <c r="R80" i="9"/>
  <c r="R67" i="9"/>
  <c r="N73" i="9"/>
  <c r="D67" i="9"/>
  <c r="U64" i="9"/>
  <c r="R81" i="9"/>
  <c r="D77" i="9"/>
  <c r="U80" i="9"/>
  <c r="V80" i="9"/>
  <c r="G64" i="9"/>
  <c r="G86" i="9" s="1"/>
  <c r="W75" i="9"/>
  <c r="P70" i="9"/>
  <c r="W70" i="9"/>
  <c r="O68" i="9"/>
  <c r="N79" i="9"/>
  <c r="W81" i="9"/>
  <c r="N78" i="9"/>
  <c r="S66" i="9"/>
  <c r="E68" i="9"/>
  <c r="P66" i="9"/>
  <c r="O71" i="9"/>
  <c r="E69" i="9"/>
  <c r="W71" i="9"/>
  <c r="N76" i="9"/>
  <c r="R68" i="9"/>
  <c r="S79" i="9"/>
  <c r="H83" i="9"/>
  <c r="E72" i="9"/>
  <c r="D75" i="9"/>
  <c r="P84" i="9"/>
  <c r="W83" i="9"/>
  <c r="O72" i="9"/>
  <c r="W79" i="9"/>
  <c r="P74" i="9"/>
  <c r="O78" i="9"/>
  <c r="N80" i="9"/>
  <c r="S80" i="9"/>
  <c r="E71" i="9"/>
  <c r="P83" i="9"/>
  <c r="O85" i="9"/>
  <c r="N68" i="9"/>
  <c r="S84" i="9"/>
  <c r="H72" i="9"/>
  <c r="E84" i="9"/>
  <c r="P72" i="9"/>
  <c r="W84" i="9"/>
  <c r="O67" i="9"/>
  <c r="W82" i="9"/>
  <c r="W76" i="9"/>
  <c r="N66" i="9"/>
  <c r="W65" i="9"/>
  <c r="O81" i="9"/>
  <c r="N74" i="9"/>
  <c r="O83" i="9"/>
  <c r="O80" i="9"/>
  <c r="I77" i="9"/>
  <c r="W73" i="9"/>
  <c r="O66" i="9"/>
  <c r="I67" i="9"/>
  <c r="D73" i="9"/>
  <c r="I76" i="9"/>
  <c r="P78" i="9"/>
  <c r="W77" i="9"/>
  <c r="O79" i="9"/>
  <c r="I69" i="9"/>
  <c r="O75" i="9"/>
  <c r="H68" i="9"/>
  <c r="W67" i="9"/>
  <c r="E85" i="9"/>
  <c r="O65" i="9"/>
  <c r="E80" i="9"/>
  <c r="H36" i="5"/>
  <c r="S74" i="9"/>
  <c r="E74" i="9"/>
  <c r="N82" i="9"/>
  <c r="S72" i="9"/>
  <c r="H73" i="9"/>
  <c r="E70" i="9"/>
  <c r="N72" i="9"/>
  <c r="H66" i="9"/>
  <c r="D83" i="9"/>
  <c r="I75" i="9"/>
  <c r="P77" i="9"/>
  <c r="O64" i="9"/>
  <c r="N71" i="9"/>
  <c r="R85" i="9"/>
  <c r="S67" i="9"/>
  <c r="H70" i="9"/>
  <c r="E78" i="9"/>
  <c r="D79" i="9"/>
  <c r="I65" i="9"/>
  <c r="P64" i="9"/>
  <c r="D69" i="9"/>
  <c r="J68" i="9"/>
  <c r="I74" i="9"/>
  <c r="U65" i="9"/>
  <c r="P81" i="9"/>
  <c r="M78" i="9"/>
  <c r="M86" i="9" s="1"/>
  <c r="W66" i="9"/>
  <c r="O77" i="9"/>
  <c r="P79" i="9"/>
  <c r="P69" i="9"/>
  <c r="S81" i="9"/>
  <c r="N67" i="9"/>
  <c r="D80" i="9"/>
  <c r="P67" i="9"/>
  <c r="W68" i="9"/>
  <c r="S85" i="9"/>
  <c r="E64" i="9"/>
  <c r="W78" i="9"/>
  <c r="N70" i="9"/>
  <c r="R64" i="9"/>
  <c r="S70" i="9"/>
  <c r="H85" i="9"/>
  <c r="E75" i="9"/>
  <c r="N81" i="9"/>
  <c r="R79" i="9"/>
  <c r="S78" i="9"/>
  <c r="H74" i="9"/>
  <c r="E76" i="9"/>
  <c r="D66" i="9"/>
  <c r="D86" i="9" s="1"/>
  <c r="J85" i="9"/>
  <c r="I83" i="9"/>
  <c r="U73" i="9"/>
  <c r="P82" i="9"/>
  <c r="M71" i="9"/>
  <c r="W69" i="9"/>
  <c r="O82" i="9"/>
  <c r="E66" i="9"/>
  <c r="D74" i="9"/>
  <c r="I81" i="9"/>
  <c r="P85" i="9"/>
  <c r="W80" i="9"/>
  <c r="O70" i="9"/>
  <c r="N83" i="9"/>
  <c r="E67" i="9"/>
  <c r="O69" i="9"/>
  <c r="O74" i="9"/>
  <c r="P68" i="9"/>
  <c r="H81" i="9"/>
  <c r="N75" i="9"/>
  <c r="N77" i="9"/>
  <c r="E82" i="9"/>
  <c r="P71" i="9"/>
  <c r="N65" i="9"/>
  <c r="S83" i="9"/>
  <c r="E77" i="9"/>
  <c r="I70" i="9"/>
  <c r="P75" i="9"/>
  <c r="W64" i="9"/>
  <c r="N84" i="9"/>
  <c r="W72" i="9"/>
  <c r="N64" i="9"/>
  <c r="S69" i="9"/>
  <c r="H80" i="9"/>
  <c r="E73" i="9"/>
  <c r="N85" i="9"/>
  <c r="R72" i="9"/>
  <c r="S64" i="9"/>
  <c r="E79" i="9"/>
  <c r="D72" i="9"/>
  <c r="I82" i="9"/>
  <c r="P65" i="9"/>
  <c r="W85" i="9"/>
  <c r="O73" i="9"/>
  <c r="I73" i="9"/>
  <c r="L24" i="1"/>
  <c r="L87" i="9" s="1"/>
  <c r="P24" i="1"/>
  <c r="P87" i="9" s="1"/>
  <c r="K81" i="9"/>
  <c r="I24" i="1"/>
  <c r="I87" i="9" s="1"/>
  <c r="I78" i="9"/>
  <c r="I80" i="9"/>
  <c r="I68" i="9"/>
  <c r="I85" i="9"/>
  <c r="I71" i="9"/>
  <c r="K79" i="9"/>
  <c r="I72" i="9"/>
  <c r="I79" i="9"/>
  <c r="I66" i="9"/>
  <c r="K72" i="9"/>
  <c r="I64" i="9"/>
  <c r="K77" i="9"/>
  <c r="V24" i="1"/>
  <c r="V87" i="9" s="1"/>
  <c r="K24" i="1"/>
  <c r="K87" i="9" s="1"/>
  <c r="M24" i="1"/>
  <c r="M87" i="9" s="1"/>
  <c r="O24" i="1"/>
  <c r="O87" i="9" s="1"/>
  <c r="K83" i="9"/>
  <c r="U24" i="1"/>
  <c r="U87" i="9" s="1"/>
  <c r="W24" i="1"/>
  <c r="W87" i="9" s="1"/>
  <c r="H24" i="1"/>
  <c r="H87" i="9" s="1"/>
  <c r="R24" i="1"/>
  <c r="R87" i="9" s="1"/>
  <c r="T24" i="1"/>
  <c r="T87" i="9" s="1"/>
  <c r="N24" i="1"/>
  <c r="N87" i="9" s="1"/>
  <c r="C24" i="1"/>
  <c r="C87" i="9" s="1"/>
  <c r="F24" i="1"/>
  <c r="F87" i="9" s="1"/>
  <c r="J24" i="1"/>
  <c r="J87" i="9" s="1"/>
  <c r="S24" i="1"/>
  <c r="S87" i="9" s="1"/>
  <c r="E24" i="1"/>
  <c r="E87" i="9" s="1"/>
  <c r="K73" i="9"/>
  <c r="K66" i="9"/>
  <c r="K75" i="9"/>
  <c r="K78" i="9"/>
  <c r="K69" i="9"/>
  <c r="K71" i="9"/>
  <c r="K70" i="9"/>
  <c r="D24" i="1"/>
  <c r="D87" i="9" s="1"/>
  <c r="K68" i="9"/>
  <c r="K76" i="9"/>
  <c r="K65" i="9"/>
  <c r="K80" i="9"/>
  <c r="K84" i="9"/>
  <c r="K74" i="9"/>
  <c r="K85" i="9"/>
  <c r="K82" i="9"/>
  <c r="G24" i="1"/>
  <c r="G87" i="9" s="1"/>
  <c r="K67" i="9"/>
  <c r="W27" i="5"/>
  <c r="F39" i="5" s="1"/>
  <c r="I39" i="5" s="1"/>
  <c r="B81" i="9"/>
  <c r="B82" i="9"/>
  <c r="B66" i="9"/>
  <c r="B78" i="9"/>
  <c r="B70" i="9"/>
  <c r="B83" i="9"/>
  <c r="B64" i="9"/>
  <c r="B65" i="9"/>
  <c r="B72" i="9"/>
  <c r="B84" i="9"/>
  <c r="B79" i="9"/>
  <c r="B69" i="9"/>
  <c r="B77" i="9"/>
  <c r="B75" i="9"/>
  <c r="B71" i="9"/>
  <c r="B80" i="9"/>
  <c r="B68" i="9"/>
  <c r="B67" i="9"/>
  <c r="B85" i="9"/>
  <c r="B74" i="9"/>
  <c r="B73" i="9"/>
  <c r="B76" i="9"/>
  <c r="T86" i="9"/>
  <c r="AF24" i="9"/>
  <c r="AO23" i="9"/>
  <c r="B24" i="1"/>
  <c r="B87" i="9" s="1"/>
  <c r="AG30" i="1" a="1"/>
  <c r="AG30" i="1" s="1"/>
  <c r="AC30" i="1" s="1" a="1"/>
  <c r="AC30" i="1" s="1"/>
  <c r="L86" i="9"/>
  <c r="Q86" i="9"/>
  <c r="F86" i="9"/>
  <c r="U86" i="9" l="1"/>
  <c r="P86" i="9"/>
  <c r="O86" i="9"/>
  <c r="W86" i="9"/>
  <c r="R86" i="9"/>
  <c r="N86" i="9"/>
  <c r="S86" i="9"/>
  <c r="J86" i="9"/>
  <c r="I86" i="9"/>
  <c r="H86" i="9"/>
  <c r="F43" i="5"/>
  <c r="K86" i="9"/>
  <c r="AC52" i="1"/>
  <c r="B52" i="1" a="1"/>
  <c r="AF27" i="9"/>
  <c r="AO24" i="9"/>
  <c r="B86" i="9"/>
  <c r="R33" i="1" l="1"/>
  <c r="K32" i="1"/>
  <c r="J31" i="1"/>
  <c r="C38" i="1"/>
  <c r="T38" i="1"/>
  <c r="S43" i="1"/>
  <c r="L44" i="1"/>
  <c r="U40" i="1"/>
  <c r="R34" i="1"/>
  <c r="U35" i="1"/>
  <c r="N50" i="1"/>
  <c r="J45" i="1"/>
  <c r="J46" i="1"/>
  <c r="C48" i="1"/>
  <c r="H31" i="1"/>
  <c r="M39" i="1"/>
  <c r="V36" i="1"/>
  <c r="W47" i="1"/>
  <c r="E31" i="1"/>
  <c r="G47" i="1"/>
  <c r="E50" i="1"/>
  <c r="R44" i="1"/>
  <c r="H40" i="1"/>
  <c r="O44" i="1"/>
  <c r="T43" i="1"/>
  <c r="K48" i="1"/>
  <c r="W40" i="1"/>
  <c r="N45" i="1"/>
  <c r="T50" i="1"/>
  <c r="J34" i="1"/>
  <c r="U49" i="1"/>
  <c r="K43" i="1"/>
  <c r="P40" i="1"/>
  <c r="W42" i="1"/>
  <c r="G51" i="1"/>
  <c r="N38" i="1"/>
  <c r="O37" i="1"/>
  <c r="I50" i="1"/>
  <c r="S45" i="1"/>
  <c r="V35" i="1"/>
  <c r="M36" i="1"/>
  <c r="R49" i="1"/>
  <c r="E44" i="1"/>
  <c r="P45" i="1"/>
  <c r="F45" i="1"/>
  <c r="U42" i="1"/>
  <c r="U32" i="1"/>
  <c r="R37" i="1"/>
  <c r="P46" i="1"/>
  <c r="P41" i="1"/>
  <c r="I37" i="1"/>
  <c r="U48" i="1"/>
  <c r="I45" i="1"/>
  <c r="F49" i="1"/>
  <c r="N47" i="1"/>
  <c r="I34" i="1"/>
  <c r="L46" i="1"/>
  <c r="R41" i="1"/>
  <c r="W36" i="1"/>
  <c r="S49" i="1"/>
  <c r="K50" i="1"/>
  <c r="Q30" i="1"/>
  <c r="M51" i="1"/>
  <c r="R40" i="1"/>
  <c r="Q41" i="1"/>
  <c r="L34" i="1"/>
  <c r="V41" i="1"/>
  <c r="U41" i="1"/>
  <c r="P32" i="1"/>
  <c r="K46" i="1"/>
  <c r="S50" i="1"/>
  <c r="H41" i="1"/>
  <c r="M38" i="1"/>
  <c r="G38" i="1"/>
  <c r="S33" i="1"/>
  <c r="L40" i="1"/>
  <c r="D39" i="1"/>
  <c r="P37" i="1"/>
  <c r="N30" i="1"/>
  <c r="U39" i="1"/>
  <c r="R45" i="1"/>
  <c r="Q36" i="1"/>
  <c r="H36" i="1"/>
  <c r="P35" i="1"/>
  <c r="L43" i="1"/>
  <c r="K47" i="1"/>
  <c r="G50" i="1"/>
  <c r="V50" i="1"/>
  <c r="K42" i="1"/>
  <c r="S38" i="1"/>
  <c r="K31" i="1"/>
  <c r="F34" i="1"/>
  <c r="O36" i="1"/>
  <c r="C45" i="1"/>
  <c r="C44" i="1"/>
  <c r="E38" i="1"/>
  <c r="Q51" i="1"/>
  <c r="U50" i="1"/>
  <c r="C39" i="1"/>
  <c r="T39" i="1"/>
  <c r="D51" i="1"/>
  <c r="I49" i="1"/>
  <c r="J43" i="1"/>
  <c r="S40" i="1"/>
  <c r="I33" i="1"/>
  <c r="U46" i="1"/>
  <c r="K49" i="1"/>
  <c r="W35" i="1"/>
  <c r="K34" i="1"/>
  <c r="W38" i="1"/>
  <c r="M49" i="1"/>
  <c r="L41" i="1"/>
  <c r="U38" i="1"/>
  <c r="I32" i="1"/>
  <c r="G48" i="1"/>
  <c r="E34" i="1"/>
  <c r="M37" i="1"/>
  <c r="C31" i="1"/>
  <c r="I42" i="1"/>
  <c r="P38" i="1"/>
  <c r="H34" i="1"/>
  <c r="J44" i="1"/>
  <c r="E30" i="1"/>
  <c r="O46" i="1"/>
  <c r="U51" i="1"/>
  <c r="Q49" i="1"/>
  <c r="V48" i="1"/>
  <c r="H49" i="1"/>
  <c r="E36" i="1"/>
  <c r="W50" i="1"/>
  <c r="G40" i="1"/>
  <c r="T33" i="1"/>
  <c r="N51" i="1"/>
  <c r="S31" i="1"/>
  <c r="C42" i="1"/>
  <c r="F42" i="1"/>
  <c r="S35" i="1"/>
  <c r="S34" i="1"/>
  <c r="W43" i="1"/>
  <c r="G31" i="1"/>
  <c r="O30" i="1"/>
  <c r="E45" i="1"/>
  <c r="Q37" i="1"/>
  <c r="D31" i="1"/>
  <c r="S46" i="1"/>
  <c r="E48" i="1"/>
  <c r="J37" i="1"/>
  <c r="V47" i="1"/>
  <c r="H45" i="1"/>
  <c r="S47" i="1"/>
  <c r="F46" i="1"/>
  <c r="I31" i="1"/>
  <c r="I47" i="1"/>
  <c r="T46" i="1"/>
  <c r="I39" i="1"/>
  <c r="E37" i="1"/>
  <c r="C51" i="1"/>
  <c r="G49" i="1"/>
  <c r="M30" i="1"/>
  <c r="O39" i="1"/>
  <c r="S44" i="1"/>
  <c r="R46" i="1"/>
  <c r="D47" i="1"/>
  <c r="F51" i="1"/>
  <c r="V39" i="1"/>
  <c r="P34" i="1"/>
  <c r="P31" i="1"/>
  <c r="I43" i="1"/>
  <c r="W49" i="1"/>
  <c r="E42" i="1"/>
  <c r="F43" i="1"/>
  <c r="O48" i="1"/>
  <c r="V49" i="1"/>
  <c r="W37" i="1"/>
  <c r="W39" i="1"/>
  <c r="F31" i="1"/>
  <c r="V46" i="1"/>
  <c r="L51" i="1"/>
  <c r="M46" i="1"/>
  <c r="C36" i="1"/>
  <c r="K35" i="1"/>
  <c r="G30" i="1"/>
  <c r="T42" i="1"/>
  <c r="J40" i="1"/>
  <c r="L36" i="1"/>
  <c r="C37" i="1"/>
  <c r="D33" i="1"/>
  <c r="E39" i="1"/>
  <c r="Q31" i="1"/>
  <c r="I35" i="1"/>
  <c r="U34" i="1"/>
  <c r="H37" i="1"/>
  <c r="E51" i="1"/>
  <c r="V32" i="1"/>
  <c r="B52" i="1"/>
  <c r="T40" i="1"/>
  <c r="O47" i="1"/>
  <c r="Q33" i="1"/>
  <c r="J33" i="1"/>
  <c r="G43" i="1"/>
  <c r="N40" i="1"/>
  <c r="L45" i="1"/>
  <c r="M44" i="1"/>
  <c r="N32" i="1"/>
  <c r="C35" i="1"/>
  <c r="H32" i="1"/>
  <c r="H33" i="1"/>
  <c r="G45" i="1"/>
  <c r="H42" i="1"/>
  <c r="D45" i="1"/>
  <c r="N36" i="1"/>
  <c r="U43" i="1"/>
  <c r="L33" i="1"/>
  <c r="O45" i="1"/>
  <c r="R39" i="1"/>
  <c r="O50" i="1"/>
  <c r="F38" i="1"/>
  <c r="S30" i="1"/>
  <c r="V40" i="1"/>
  <c r="K30" i="1"/>
  <c r="W44" i="1"/>
  <c r="T51" i="1"/>
  <c r="M41" i="1"/>
  <c r="V44" i="1"/>
  <c r="P42" i="1"/>
  <c r="R48" i="1"/>
  <c r="H38" i="1"/>
  <c r="V30" i="1"/>
  <c r="D49" i="1"/>
  <c r="P33" i="1"/>
  <c r="P47" i="1"/>
  <c r="N39" i="1"/>
  <c r="T45" i="1"/>
  <c r="G42" i="1"/>
  <c r="D44" i="1"/>
  <c r="F40" i="1"/>
  <c r="P48" i="1"/>
  <c r="O40" i="1"/>
  <c r="M40" i="1"/>
  <c r="D46" i="1"/>
  <c r="G37" i="1"/>
  <c r="Q40" i="1"/>
  <c r="R30" i="1"/>
  <c r="G41" i="1"/>
  <c r="K36" i="1"/>
  <c r="M45" i="1"/>
  <c r="D36" i="1"/>
  <c r="F50" i="1"/>
  <c r="R43" i="1"/>
  <c r="F44" i="1"/>
  <c r="O42" i="1"/>
  <c r="L37" i="1"/>
  <c r="D32" i="1"/>
  <c r="I40" i="1"/>
  <c r="E32" i="1"/>
  <c r="E43" i="1"/>
  <c r="D48" i="1"/>
  <c r="F41" i="1"/>
  <c r="F48" i="1"/>
  <c r="F39" i="1"/>
  <c r="H46" i="1"/>
  <c r="N49" i="1"/>
  <c r="F30" i="1"/>
  <c r="W45" i="1"/>
  <c r="P50" i="1"/>
  <c r="D40" i="1"/>
  <c r="D34" i="1"/>
  <c r="M33" i="1"/>
  <c r="W32" i="1"/>
  <c r="S48" i="1"/>
  <c r="T31" i="1"/>
  <c r="H44" i="1"/>
  <c r="F47" i="1"/>
  <c r="R35" i="1"/>
  <c r="D50" i="1"/>
  <c r="J38" i="1"/>
  <c r="G33" i="1"/>
  <c r="T49" i="1"/>
  <c r="T34" i="1"/>
  <c r="F32" i="1"/>
  <c r="D41" i="1"/>
  <c r="R32" i="1"/>
  <c r="I38" i="1"/>
  <c r="C34" i="1"/>
  <c r="O49" i="1"/>
  <c r="D35" i="1"/>
  <c r="G32" i="1"/>
  <c r="V37" i="1"/>
  <c r="P43" i="1"/>
  <c r="R38" i="1"/>
  <c r="O43" i="1"/>
  <c r="N33" i="1"/>
  <c r="N43" i="1"/>
  <c r="J42" i="1"/>
  <c r="H47" i="1"/>
  <c r="E47" i="1"/>
  <c r="M32" i="1"/>
  <c r="N46" i="1"/>
  <c r="R36" i="1"/>
  <c r="Q43" i="1"/>
  <c r="W33" i="1"/>
  <c r="U30" i="1"/>
  <c r="H51" i="1"/>
  <c r="N31" i="1"/>
  <c r="K51" i="1"/>
  <c r="E33" i="1"/>
  <c r="V31" i="1"/>
  <c r="V34" i="1"/>
  <c r="T30" i="1"/>
  <c r="E49" i="1"/>
  <c r="C50" i="1"/>
  <c r="H43" i="1"/>
  <c r="N44" i="1"/>
  <c r="T47" i="1"/>
  <c r="W46" i="1"/>
  <c r="D37" i="1"/>
  <c r="O35" i="1"/>
  <c r="M50" i="1"/>
  <c r="I36" i="1"/>
  <c r="N48" i="1"/>
  <c r="L39" i="1"/>
  <c r="C33" i="1"/>
  <c r="H30" i="1"/>
  <c r="M47" i="1"/>
  <c r="J35" i="1"/>
  <c r="G44" i="1"/>
  <c r="P36" i="1"/>
  <c r="R31" i="1"/>
  <c r="L35" i="1"/>
  <c r="U33" i="1"/>
  <c r="L38" i="1"/>
  <c r="E46" i="1"/>
  <c r="C46" i="1"/>
  <c r="L30" i="1"/>
  <c r="Q47" i="1"/>
  <c r="R47" i="1"/>
  <c r="T37" i="1"/>
  <c r="V38" i="1"/>
  <c r="S39" i="1"/>
  <c r="L32" i="1"/>
  <c r="U45" i="1"/>
  <c r="N37" i="1"/>
  <c r="I41" i="1"/>
  <c r="S36" i="1"/>
  <c r="J36" i="1"/>
  <c r="Q44" i="1"/>
  <c r="N34" i="1"/>
  <c r="K45" i="1"/>
  <c r="U47" i="1"/>
  <c r="S51" i="1"/>
  <c r="L42" i="1"/>
  <c r="J32" i="1"/>
  <c r="C49" i="1"/>
  <c r="V33" i="1"/>
  <c r="I30" i="1"/>
  <c r="V45" i="1"/>
  <c r="G36" i="1"/>
  <c r="M35" i="1"/>
  <c r="W34" i="1"/>
  <c r="M43" i="1"/>
  <c r="I51" i="1"/>
  <c r="U36" i="1"/>
  <c r="T35" i="1"/>
  <c r="V42" i="1"/>
  <c r="C40" i="1"/>
  <c r="O32" i="1"/>
  <c r="R42" i="1"/>
  <c r="K33" i="1"/>
  <c r="C43" i="1"/>
  <c r="Q39" i="1"/>
  <c r="Q34" i="1"/>
  <c r="U44" i="1"/>
  <c r="V51" i="1"/>
  <c r="G34" i="1"/>
  <c r="N41" i="1"/>
  <c r="C47" i="1"/>
  <c r="P49" i="1"/>
  <c r="N35" i="1"/>
  <c r="Q42" i="1"/>
  <c r="U31" i="1"/>
  <c r="E35" i="1"/>
  <c r="K40" i="1"/>
  <c r="J41" i="1"/>
  <c r="J50" i="1"/>
  <c r="O34" i="1"/>
  <c r="D30" i="1"/>
  <c r="O41" i="1"/>
  <c r="R50" i="1"/>
  <c r="J48" i="1"/>
  <c r="J39" i="1"/>
  <c r="J47" i="1"/>
  <c r="F36" i="1"/>
  <c r="L50" i="1"/>
  <c r="H39" i="1"/>
  <c r="J30" i="1"/>
  <c r="M48" i="1"/>
  <c r="O33" i="1"/>
  <c r="J51" i="1"/>
  <c r="J49" i="1"/>
  <c r="C32" i="1"/>
  <c r="Q32" i="1"/>
  <c r="W41" i="1"/>
  <c r="T44" i="1"/>
  <c r="M31" i="1"/>
  <c r="C41" i="1"/>
  <c r="S32" i="1"/>
  <c r="L47" i="1"/>
  <c r="T36" i="1"/>
  <c r="P39" i="1"/>
  <c r="N42" i="1"/>
  <c r="H48" i="1"/>
  <c r="C30" i="1"/>
  <c r="G39" i="1"/>
  <c r="W48" i="1"/>
  <c r="L48" i="1"/>
  <c r="K38" i="1"/>
  <c r="I46" i="1"/>
  <c r="T48" i="1"/>
  <c r="M34" i="1"/>
  <c r="D38" i="1"/>
  <c r="K44" i="1"/>
  <c r="T32" i="1"/>
  <c r="S41" i="1"/>
  <c r="R51" i="1"/>
  <c r="Q45" i="1"/>
  <c r="G46" i="1"/>
  <c r="I48" i="1"/>
  <c r="H35" i="1"/>
  <c r="Q46" i="1"/>
  <c r="L49" i="1"/>
  <c r="V43" i="1"/>
  <c r="K39" i="1"/>
  <c r="D42" i="1"/>
  <c r="P44" i="1"/>
  <c r="I44" i="1"/>
  <c r="E41" i="1"/>
  <c r="H50" i="1"/>
  <c r="S37" i="1"/>
  <c r="F33" i="1"/>
  <c r="W30" i="1"/>
  <c r="W51" i="1"/>
  <c r="Q48" i="1"/>
  <c r="S42" i="1"/>
  <c r="K41" i="1"/>
  <c r="W31" i="1"/>
  <c r="U37" i="1"/>
  <c r="P30" i="1"/>
  <c r="F37" i="1"/>
  <c r="T41" i="1"/>
  <c r="Q38" i="1"/>
  <c r="M42" i="1"/>
  <c r="O31" i="1"/>
  <c r="Q35" i="1"/>
  <c r="O51" i="1"/>
  <c r="L31" i="1"/>
  <c r="O38" i="1"/>
  <c r="G35" i="1"/>
  <c r="P51" i="1"/>
  <c r="E40" i="1"/>
  <c r="Q50" i="1"/>
  <c r="F35" i="1"/>
  <c r="D43" i="1"/>
  <c r="K37" i="1"/>
  <c r="AF31" i="9"/>
  <c r="AN27" i="9"/>
  <c r="AN28" i="9" s="1"/>
  <c r="AC26" i="5"/>
  <c r="AC53" i="1"/>
  <c r="B36" i="1" l="1"/>
  <c r="AD36" i="1" s="1"/>
  <c r="B31" i="1"/>
  <c r="AD31" i="1" s="1"/>
  <c r="B51" i="1"/>
  <c r="AD51" i="1" s="1"/>
  <c r="B48" i="1"/>
  <c r="AD48" i="1" s="1"/>
  <c r="B42" i="1"/>
  <c r="AD42" i="1" s="1"/>
  <c r="B35" i="1"/>
  <c r="AD35" i="1" s="1"/>
  <c r="B39" i="1"/>
  <c r="AD39" i="1" s="1"/>
  <c r="B50" i="1"/>
  <c r="AD50" i="1" s="1"/>
  <c r="B33" i="1"/>
  <c r="AD33" i="1" s="1"/>
  <c r="B43" i="1"/>
  <c r="AD43" i="1" s="1"/>
  <c r="B34" i="1"/>
  <c r="AD34" i="1" s="1"/>
  <c r="B49" i="1"/>
  <c r="AD49" i="1" s="1"/>
  <c r="B30" i="1"/>
  <c r="AD30" i="1" s="1"/>
  <c r="B46" i="1"/>
  <c r="AD46" i="1" s="1"/>
  <c r="B37" i="1"/>
  <c r="AD37" i="1" s="1"/>
  <c r="B40" i="1"/>
  <c r="AD40" i="1" s="1"/>
  <c r="B32" i="1"/>
  <c r="AD32" i="1" s="1"/>
  <c r="B41" i="1"/>
  <c r="AD41" i="1" s="1"/>
  <c r="B45" i="1"/>
  <c r="AD45" i="1" s="1"/>
  <c r="B47" i="1"/>
  <c r="AD47" i="1" s="1"/>
  <c r="B44" i="1"/>
  <c r="AD44" i="1" s="1"/>
  <c r="B38" i="1"/>
  <c r="AD38" i="1" s="1"/>
  <c r="AD5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tc={53FA3EC6-C839-B645-99F1-DB6A67BF538A}</author>
    <author>tc={63049DE3-7C2E-FC40-A119-045392A6547D}</author>
    <author>Allen Deng</author>
    <author>Microsoft Office User</author>
  </authors>
  <commentList>
    <comment ref="X1" authorId="0" shapeId="0" xr:uid="{53FA3EC6-C839-B645-99F1-DB6A67BF538A}">
      <text>
        <t xml:space="preserve">[Threaded comment]
Your version of Excel allows you to read this threaded comment; however, any edits to it will get removed if the file is opened in a newer version of Excel. Learn more: https://go.microsoft.com/fwlink/?linkid=870924
Comment:
    = This is the demand for domestically fabricated product produced from domestic semi.
P1 - P8 will import extra semi to produce more product.
Moving forward, the total product domestically fabricated breaks down to
- domestically consumed
- export
</t>
      </text>
    </comment>
    <comment ref="AD1" authorId="1" shapeId="0" xr:uid="{63049DE3-7C2E-FC40-A119-045392A6547D}">
      <text>
        <t>[Threaded comment]
Your version of Excel allows you to read this threaded comment; however, any edits to it will get removed if the file is opened in a newer version of Excel. Learn more: https://go.microsoft.com/fwlink/?linkid=870924
Comment:
    Conversion Factors for MFA - Sheet1</t>
      </text>
    </comment>
    <comment ref="AD12" authorId="2" shapeId="0" xr:uid="{9E3C59D6-F0B6-48BA-814B-8E3823EE5D01}">
      <text>
        <r>
          <rPr>
            <sz val="9"/>
            <color indexed="81"/>
            <rFont val="Tahoma"/>
            <family val="2"/>
          </rPr>
          <t xml:space="preserve">https://www.sciencedirect.com/science/article/abs/pii/S1526612523001214?via%3Dihub
</t>
        </r>
      </text>
    </comment>
    <comment ref="AA13" authorId="2" shapeId="0" xr:uid="{851B23F3-4ACD-4CB3-B8D7-4AC569AFC97A}">
      <text>
        <r>
          <rPr>
            <sz val="9"/>
            <color rgb="FF000000"/>
            <rFont val="Tahoma"/>
            <family val="2"/>
          </rPr>
          <t xml:space="preserve">z = (1-r)(1-beta)/beta*v
</t>
        </r>
      </text>
    </comment>
    <comment ref="AD13" authorId="2" shapeId="0" xr:uid="{40DBB97A-4379-4BF2-B5B0-C78446972F71}">
      <text>
        <r>
          <rPr>
            <b/>
            <sz val="9"/>
            <color indexed="81"/>
            <rFont val="Tahoma"/>
            <family val="2"/>
          </rPr>
          <t>Mise en place - Casting Tab</t>
        </r>
        <r>
          <rPr>
            <sz val="9"/>
            <color indexed="81"/>
            <rFont val="Tahoma"/>
            <family val="2"/>
          </rPr>
          <t xml:space="preserve">
</t>
        </r>
      </text>
    </comment>
    <comment ref="AE13" authorId="2" shapeId="0" xr:uid="{F1C40D09-754D-43AE-B216-0847292A5B9C}">
      <text>
        <r>
          <rPr>
            <b/>
            <sz val="9"/>
            <color rgb="FF000000"/>
            <rFont val="Tahoma"/>
            <family val="2"/>
          </rPr>
          <t>v = This value
x = C2-&gt;SC1 + import
y = internal scrap
z = loss</t>
        </r>
        <r>
          <rPr>
            <sz val="9"/>
            <color rgb="FF000000"/>
            <rFont val="Tahoma"/>
            <family val="2"/>
          </rPr>
          <t xml:space="preserve">
</t>
        </r>
        <r>
          <rPr>
            <b/>
            <sz val="9"/>
            <color rgb="FF000000"/>
            <rFont val="Tahoma"/>
            <family val="2"/>
          </rPr>
          <t>beta</t>
        </r>
        <r>
          <rPr>
            <sz val="9"/>
            <color rgb="FF000000"/>
            <rFont val="Tahoma"/>
            <family val="2"/>
          </rPr>
          <t xml:space="preserve"> = nominal yield efficiency
</t>
        </r>
        <r>
          <rPr>
            <b/>
            <sz val="9"/>
            <color rgb="FF000000"/>
            <rFont val="Tahoma"/>
            <family val="2"/>
          </rPr>
          <t>eta</t>
        </r>
        <r>
          <rPr>
            <sz val="9"/>
            <color rgb="FF000000"/>
            <rFont val="Tahoma"/>
            <family val="2"/>
          </rPr>
          <t xml:space="preserve"> = net yield efficeincy
total inflow   = x+y = v/beta
total outflow  = x+y = v/beta
y = r(1-beta)(x+y) =&gt; y = r(1-beta)/beta*v
z = (1-r)(1-beta)(x+y) =&gt; z =  (1-r)(1-beta)/beta*v
v = beta(x+y) =&gt; x = v/beta - y = (1-r+r*beta)/beta*v
eta = v/x = 1/[1-(1-beta)*r]*beta
</t>
        </r>
      </text>
    </comment>
    <comment ref="X24" authorId="3" shapeId="0" xr:uid="{5F566260-5314-534F-807C-8BD5DA9430E0}">
      <text>
        <r>
          <rPr>
            <sz val="10"/>
            <color rgb="FF000000"/>
            <rFont val="Tahoma"/>
            <family val="2"/>
          </rPr>
          <t>Domestically Fabricated, which includeS Export!
The domestically fabricated products is redistributed within the Use object</t>
        </r>
      </text>
    </comment>
    <comment ref="AC24" authorId="2" shapeId="0" xr:uid="{13091770-5200-40F6-B6C5-AEF2451EB755}">
      <text>
        <r>
          <rPr>
            <b/>
            <sz val="9"/>
            <color rgb="FF000000"/>
            <rFont val="Tahoma"/>
            <family val="2"/>
          </rPr>
          <t>consumption_target.sum()</t>
        </r>
        <r>
          <rPr>
            <sz val="9"/>
            <color rgb="FF000000"/>
            <rFont val="Tahoma"/>
            <family val="2"/>
          </rPr>
          <t xml:space="preserve">
</t>
        </r>
      </text>
    </comment>
    <comment ref="W27" authorId="2" shapeId="0" xr:uid="{BDDE892A-23EA-4B43-A9E8-412956062FF1}">
      <text>
        <r>
          <rPr>
            <b/>
            <sz val="9"/>
            <color indexed="81"/>
            <rFont val="Tahoma"/>
            <family val="2"/>
          </rPr>
          <t>Semi import, should match USGS data.</t>
        </r>
        <r>
          <rPr>
            <sz val="9"/>
            <color indexed="81"/>
            <rFont val="Tahoma"/>
            <family val="2"/>
          </rPr>
          <t xml:space="preserve">
</t>
        </r>
      </text>
    </comment>
    <comment ref="O31" authorId="3" shapeId="0" xr:uid="{86070C9F-002A-F54F-9A0B-59BD4AAE4681}">
      <text>
        <r>
          <rPr>
            <sz val="10"/>
            <color rgb="FF000000"/>
            <rFont val="Calibri"/>
            <family val="2"/>
            <scheme val="minor"/>
          </rPr>
          <t xml:space="preserve">Table 11 - Shipments by major market
</t>
        </r>
      </text>
    </comment>
    <comment ref="P32" authorId="2" shapeId="0" xr:uid="{608A6A2D-6A11-4DB1-850B-3B4F3E6A3D11}">
      <text>
        <r>
          <rPr>
            <sz val="9"/>
            <color rgb="FF000000"/>
            <rFont val="Tahoma"/>
            <family val="2"/>
          </rPr>
          <t xml:space="preserve">The original shipment data, which breaksdown to
</t>
        </r>
        <r>
          <rPr>
            <sz val="9"/>
            <color rgb="FF000000"/>
            <rFont val="Tahoma"/>
            <family val="2"/>
          </rPr>
          <t xml:space="preserve">- US manufactured semi
</t>
        </r>
        <r>
          <rPr>
            <sz val="9"/>
            <color rgb="FF000000"/>
            <rFont val="Tahoma"/>
            <family val="2"/>
          </rPr>
          <t xml:space="preserve">- Canada manufactured semi
</t>
        </r>
        <r>
          <rPr>
            <sz val="9"/>
            <color rgb="FF000000"/>
            <rFont val="Tahoma"/>
            <family val="2"/>
          </rPr>
          <t xml:space="preserve">- imported semi
</t>
        </r>
        <r>
          <rPr>
            <sz val="9"/>
            <color rgb="FF000000"/>
            <rFont val="Tahoma"/>
            <family val="2"/>
          </rPr>
          <t xml:space="preserve">
</t>
        </r>
        <r>
          <rPr>
            <sz val="9"/>
            <color rgb="FF000000"/>
            <rFont val="Tahoma"/>
            <family val="2"/>
          </rPr>
          <t>We apply a ratio to estimate the amount of semi-produced domestically</t>
        </r>
      </text>
    </comment>
    <comment ref="E37" authorId="2" shapeId="0" xr:uid="{E2E668C5-0551-4343-B354-FECBC915A6D8}">
      <text>
        <r>
          <rPr>
            <b/>
            <sz val="9"/>
            <color rgb="FF000000"/>
            <rFont val="Tahoma"/>
            <family val="2"/>
          </rPr>
          <t xml:space="preserve">Domestically collected EoL +
</t>
        </r>
        <r>
          <rPr>
            <b/>
            <sz val="9"/>
            <color rgb="FF000000"/>
            <rFont val="Tahoma"/>
            <family val="2"/>
          </rPr>
          <t>Domestically generated internal scrap</t>
        </r>
        <r>
          <rPr>
            <sz val="9"/>
            <color rgb="FF000000"/>
            <rFont val="Tahoma"/>
            <family val="2"/>
          </rPr>
          <t xml:space="preserve">
</t>
        </r>
      </text>
    </comment>
    <comment ref="X40" authorId="2" shapeId="0" xr:uid="{7E9DECC1-B5B0-4CF8-A786-B16A9935751C}">
      <text>
        <r>
          <rPr>
            <b/>
            <sz val="9"/>
            <color rgb="FF000000"/>
            <rFont val="Tahoma"/>
            <family val="2"/>
          </rPr>
          <t>Semi shipped to US+Canada</t>
        </r>
        <r>
          <rPr>
            <sz val="9"/>
            <color rgb="FF000000"/>
            <rFont val="Tahoma"/>
            <family val="2"/>
          </rPr>
          <t xml:space="preserve">
</t>
        </r>
      </text>
    </comment>
    <comment ref="O42" authorId="2" shapeId="0" xr:uid="{CC02B763-933E-45B5-AD03-402CC898BCB7}">
      <text>
        <r>
          <rPr>
            <b/>
            <sz val="9"/>
            <color indexed="81"/>
            <rFont val="Tahoma"/>
            <family val="2"/>
          </rPr>
          <t>US received semi</t>
        </r>
        <r>
          <rPr>
            <sz val="9"/>
            <color indexed="81"/>
            <rFont val="Tahoma"/>
            <family val="2"/>
          </rPr>
          <t xml:space="preserve">
</t>
        </r>
      </text>
    </comment>
    <comment ref="X42" authorId="3" shapeId="0" xr:uid="{89B824D2-CDB4-4A4B-8F02-A90EDA3C4648}">
      <text>
        <r>
          <rPr>
            <sz val="10"/>
            <color rgb="FF000000"/>
            <rFont val="Tahoma"/>
            <family val="2"/>
          </rPr>
          <t>Semi shipped to US facilities, i.e., domestically consumed semi</t>
        </r>
      </text>
    </comment>
    <comment ref="Z42" authorId="2" shapeId="0" xr:uid="{EED0BFB7-4CA2-43B6-BF5A-6FFF903F654D}">
      <text>
        <r>
          <rPr>
            <b/>
            <sz val="9"/>
            <color rgb="FF000000"/>
            <rFont val="Tahoma"/>
            <family val="2"/>
          </rPr>
          <t xml:space="preserve">US export of semi: 853.08 kt is from
</t>
        </r>
        <r>
          <rPr>
            <b/>
            <sz val="9"/>
            <color rgb="FF000000"/>
            <rFont val="Tahoma"/>
            <family val="2"/>
          </rPr>
          <t xml:space="preserve">
</t>
        </r>
        <r>
          <rPr>
            <b/>
            <sz val="9"/>
            <color rgb="FF000000"/>
            <rFont val="Tahoma"/>
            <family val="2"/>
          </rPr>
          <t xml:space="preserve">USGS T9 </t>
        </r>
        <r>
          <rPr>
            <sz val="9"/>
            <color rgb="FF000000"/>
            <rFont val="Tahoma"/>
            <family val="2"/>
          </rPr>
          <t xml:space="preserve">
</t>
        </r>
      </text>
    </comment>
    <comment ref="AC42" authorId="2" shapeId="0" xr:uid="{B20ABF05-54ED-460C-8144-212EA3A145EA}">
      <text>
        <r>
          <rPr>
            <b/>
            <sz val="9"/>
            <color rgb="FF000000"/>
            <rFont val="Tahoma"/>
            <family val="2"/>
          </rPr>
          <t>Imported Semi, from USGS data</t>
        </r>
        <r>
          <rPr>
            <sz val="9"/>
            <color rgb="FF000000"/>
            <rFont val="Tahoma"/>
            <family val="2"/>
          </rPr>
          <t xml:space="preserve">
</t>
        </r>
      </text>
    </comment>
    <comment ref="O43" authorId="2" shapeId="0" xr:uid="{1B8A57F7-A53F-437B-9D09-F7F9E6DD2271}">
      <text>
        <r>
          <rPr>
            <sz val="9"/>
            <color indexed="81"/>
            <rFont val="Tahoma"/>
            <family val="2"/>
          </rPr>
          <t>High value will lead to high import of alloys
Low value will lead to high import of semi-components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Allen Deng</author>
  </authors>
  <commentList>
    <comment ref="B2" authorId="0" shapeId="0" xr:uid="{83AE6188-E8C4-A748-937D-354BCE338908}">
      <text>
        <r>
          <rPr>
            <sz val="10"/>
            <color rgb="FF000000"/>
            <rFont val="Tahoma"/>
            <family val="2"/>
          </rPr>
          <t>AA LCA report p63: domestic bauxite mining is negligible and mostly utilized for non-metallurgical applications such as abrasives, chemical, refractory materials (according to USGS).</t>
        </r>
      </text>
    </comment>
    <comment ref="E2" authorId="0" shapeId="0" xr:uid="{247A6E84-335D-DF46-AA47-90D202CA6580}">
      <text>
        <r>
          <rPr>
            <sz val="10"/>
            <color rgb="FF000000"/>
            <rFont val="Calibri"/>
            <family val="2"/>
          </rPr>
          <t xml:space="preserve">This is the mass of Alumina (in aluminum content) that is used for producing primary aluminum.
</t>
        </r>
        <r>
          <rPr>
            <sz val="10"/>
            <color rgb="FF000000"/>
            <rFont val="Calibri"/>
            <family val="2"/>
          </rPr>
          <t xml:space="preserve">
</t>
        </r>
        <r>
          <rPr>
            <b/>
            <sz val="10"/>
            <color rgb="FF000000"/>
            <rFont val="Calibri"/>
            <family val="2"/>
          </rPr>
          <t>Not all alumina (about 56%) is used to produce aluminum.</t>
        </r>
        <r>
          <rPr>
            <sz val="10"/>
            <color rgb="FF000000"/>
            <rFont val="Calibri"/>
            <family val="2"/>
          </rPr>
          <t xml:space="preserve">
</t>
        </r>
        <r>
          <rPr>
            <sz val="10"/>
            <color rgb="FF000000"/>
            <rFont val="Calibri"/>
            <family val="2"/>
          </rPr>
          <t xml:space="preserve">
</t>
        </r>
        <r>
          <rPr>
            <sz val="10"/>
            <color rgb="FF000000"/>
            <rFont val="Calibri"/>
            <family val="2"/>
          </rPr>
          <t xml:space="preserve">USGS:
</t>
        </r>
        <r>
          <rPr>
            <sz val="10"/>
            <color rgb="FF000000"/>
            <rFont val="Calibri"/>
            <family val="2"/>
          </rPr>
          <t xml:space="preserve">2020: About 56% of the alumina produced went to primary
</t>
        </r>
        <r>
          <rPr>
            <sz val="10"/>
            <color rgb="FF000000"/>
            <rFont val="Calibri"/>
            <family val="2"/>
          </rPr>
          <t xml:space="preserve">aluminum smelters, and the remainder went to nonmetallurgical products, such as abrasives, ceramics, chemicals,
</t>
        </r>
        <r>
          <rPr>
            <sz val="10"/>
            <color rgb="FF000000"/>
            <rFont val="Calibri"/>
            <family val="2"/>
          </rPr>
          <t xml:space="preserve">and refractories.
</t>
        </r>
      </text>
    </comment>
    <comment ref="F2" authorId="0" shapeId="0" xr:uid="{A8ADB7A9-1668-1449-9FAC-BBDF4257AA3B}">
      <text>
        <r>
          <rPr>
            <b/>
            <sz val="10"/>
            <color rgb="FF000000"/>
            <rFont val="Calibri"/>
            <family val="2"/>
          </rPr>
          <t>Only 56% alumina produced  went to primary aluminum smelters.</t>
        </r>
        <r>
          <rPr>
            <sz val="10"/>
            <color rgb="FF000000"/>
            <rFont val="Calibri"/>
            <family val="2"/>
          </rPr>
          <t xml:space="preserve">
</t>
        </r>
      </text>
    </comment>
    <comment ref="G2" authorId="0" shapeId="0" xr:uid="{9B9F32D5-894F-C141-A03D-3AB8F6F20B0F}">
      <text>
        <r>
          <rPr>
            <b/>
            <sz val="10"/>
            <color rgb="FF000000"/>
            <rFont val="Tahoma"/>
            <family val="2"/>
          </rPr>
          <t>AA data, 1000 kg alumina from 2234 kg bauxite</t>
        </r>
        <r>
          <rPr>
            <sz val="10"/>
            <color rgb="FF000000"/>
            <rFont val="Tahoma"/>
            <family val="2"/>
          </rPr>
          <t xml:space="preserve">
</t>
        </r>
      </text>
    </comment>
    <comment ref="H2" authorId="0" shapeId="0" xr:uid="{ABCC6951-7962-A243-90D7-32043D7F6183}">
      <text>
        <r>
          <rPr>
            <b/>
            <sz val="10"/>
            <color rgb="FF000000"/>
            <rFont val="Tahoma"/>
            <family val="2"/>
          </rPr>
          <t>Stochiometry</t>
        </r>
        <r>
          <rPr>
            <sz val="10"/>
            <color rgb="FF000000"/>
            <rFont val="Tahoma"/>
            <family val="2"/>
          </rPr>
          <t xml:space="preserve">
</t>
        </r>
      </text>
    </comment>
    <comment ref="I2" authorId="0" shapeId="0" xr:uid="{311154DA-C0D2-314E-A924-5F1F9B0F3DEC}">
      <text>
        <r>
          <rPr>
            <b/>
            <sz val="10"/>
            <color rgb="FF000000"/>
            <rFont val="Tahoma"/>
            <family val="2"/>
          </rPr>
          <t>AA Data</t>
        </r>
        <r>
          <rPr>
            <sz val="10"/>
            <color rgb="FF000000"/>
            <rFont val="Tahoma"/>
            <family val="2"/>
          </rPr>
          <t xml:space="preserve">
</t>
        </r>
      </text>
    </comment>
    <comment ref="J2" authorId="0" shapeId="0" xr:uid="{0C80CB88-F3CC-5F47-8E9E-ADEEEE4087A8}">
      <text>
        <r>
          <rPr>
            <b/>
            <sz val="10"/>
            <color rgb="FF000000"/>
            <rFont val="Tahoma"/>
            <family val="2"/>
          </rPr>
          <t>4:1 According to internal communication with AA</t>
        </r>
        <r>
          <rPr>
            <sz val="10"/>
            <color rgb="FF000000"/>
            <rFont val="Tahoma"/>
            <family val="2"/>
          </rPr>
          <t xml:space="preserve">
</t>
        </r>
      </text>
    </comment>
    <comment ref="M2" authorId="0" shapeId="0" xr:uid="{9AB00FF7-DB22-3543-8638-7CABA5B83946}">
      <text>
        <r>
          <rPr>
            <b/>
            <sz val="10"/>
            <color rgb="FF000000"/>
            <rFont val="Tahoma"/>
            <family val="2"/>
          </rPr>
          <t>YX data</t>
        </r>
        <r>
          <rPr>
            <sz val="10"/>
            <color rgb="FF000000"/>
            <rFont val="Tahoma"/>
            <family val="2"/>
          </rPr>
          <t xml:space="preserve">
</t>
        </r>
      </text>
    </comment>
    <comment ref="B3" authorId="0" shapeId="0" xr:uid="{492A281E-C4C6-AC4F-A45D-81C43A48B899}">
      <text>
        <r>
          <rPr>
            <sz val="10"/>
            <color rgb="FF000000"/>
            <rFont val="Tahoma"/>
            <family val="2"/>
          </rPr>
          <t xml:space="preserve">Definition: bauxite imports for domestic alumina production (AA report p63)
</t>
        </r>
      </text>
    </comment>
    <comment ref="C3" authorId="0" shapeId="0" xr:uid="{6EC4D298-9178-984C-8DDC-10A93029540A}">
      <text>
        <r>
          <rPr>
            <sz val="10"/>
            <color rgb="FF000000"/>
            <rFont val="Tahoma"/>
            <family val="2"/>
          </rPr>
          <t xml:space="preserve">According to USGS, </t>
        </r>
        <r>
          <rPr>
            <sz val="10"/>
            <color rgb="FF000000"/>
            <rFont val="Calibri"/>
            <family val="2"/>
          </rPr>
          <t xml:space="preserve">The total bauxite import is 3,760 kt, which is about 940 kt aluminum content.
</t>
        </r>
        <r>
          <rPr>
            <sz val="10"/>
            <color rgb="FF000000"/>
            <rFont val="Calibri"/>
            <family val="2"/>
          </rPr>
          <t xml:space="preserve">
</t>
        </r>
        <r>
          <rPr>
            <sz val="10"/>
            <color rgb="FF000000"/>
            <rFont val="Calibri"/>
            <family val="2"/>
          </rPr>
          <t xml:space="preserve">940*0.79 = 743 kt, part of it used for aluminum hydroxide.
</t>
        </r>
        <r>
          <rPr>
            <sz val="10"/>
            <color rgb="FF000000"/>
            <rFont val="Tahoma"/>
            <family val="2"/>
          </rPr>
          <t xml:space="preserve">
</t>
        </r>
      </text>
    </comment>
    <comment ref="D3" authorId="0" shapeId="0" xr:uid="{54DA19C6-BB1D-8E46-ACA2-73E6E7E6AF55}">
      <text>
        <r>
          <rPr>
            <b/>
            <sz val="10"/>
            <color rgb="FF000000"/>
            <rFont val="Tahoma"/>
            <family val="2"/>
          </rPr>
          <t xml:space="preserve">The trade mass (in aluminum content) includes both
</t>
        </r>
        <r>
          <rPr>
            <b/>
            <sz val="10"/>
            <color rgb="FF000000"/>
            <rFont val="Tahoma"/>
            <family val="2"/>
          </rPr>
          <t xml:space="preserve">- alumina export (in aluminum content)
</t>
        </r>
        <r>
          <rPr>
            <b/>
            <sz val="10"/>
            <color rgb="FF000000"/>
            <rFont val="Tahoma"/>
            <family val="2"/>
          </rPr>
          <t>- alumina used in other domesticd industries (</t>
        </r>
        <r>
          <rPr>
            <b/>
            <sz val="10"/>
            <color rgb="FF000000"/>
            <rFont val="Calibri"/>
            <family val="2"/>
          </rPr>
          <t>(in aluminum content)</t>
        </r>
        <r>
          <rPr>
            <b/>
            <sz val="10"/>
            <color rgb="FF000000"/>
            <rFont val="Tahoma"/>
            <family val="2"/>
          </rPr>
          <t xml:space="preserve">
</t>
        </r>
        <r>
          <rPr>
            <b/>
            <sz val="10"/>
            <color rgb="FF000000"/>
            <rFont val="Tahoma"/>
            <family val="2"/>
          </rPr>
          <t xml:space="preserve">
</t>
        </r>
        <r>
          <rPr>
            <sz val="10"/>
            <color rgb="FF000000"/>
            <rFont val="Calibri"/>
            <family val="2"/>
          </rPr>
          <t xml:space="preserve">The USGS data on alumina export is 153 kt (81 kt metal). However, this amount may not be meaningful, because not all of this amount is linked to the aluminum industry.
</t>
        </r>
        <r>
          <rPr>
            <sz val="10"/>
            <color rgb="FF000000"/>
            <rFont val="Tahoma"/>
            <family val="2"/>
          </rPr>
          <t xml:space="preserve">
</t>
        </r>
      </text>
    </comment>
    <comment ref="C4" authorId="1" shapeId="0" xr:uid="{2DF92732-7A6D-473D-AF50-A3F190AF7816}">
      <text>
        <r>
          <rPr>
            <b/>
            <sz val="10"/>
            <color rgb="FF000000"/>
            <rFont val="Calibri"/>
            <family val="2"/>
          </rPr>
          <t>This is the mass of bauxite (in Al content) used for domestic alumina production</t>
        </r>
        <r>
          <rPr>
            <sz val="9"/>
            <color rgb="FF000000"/>
            <rFont val="Calibri"/>
            <family val="2"/>
          </rPr>
          <t xml:space="preserve">
</t>
        </r>
        <r>
          <rPr>
            <b/>
            <sz val="9"/>
            <color rgb="FF000000"/>
            <rFont val="Tahoma"/>
            <family val="2"/>
          </rPr>
          <t xml:space="preserve">
</t>
        </r>
        <r>
          <rPr>
            <b/>
            <sz val="9"/>
            <color rgb="FF000000"/>
            <rFont val="Tahoma"/>
            <family val="2"/>
          </rPr>
          <t xml:space="preserve">Not all bauxite (&lt;79%) is used to produce alumina.
</t>
        </r>
        <r>
          <rPr>
            <b/>
            <sz val="10"/>
            <color rgb="FF000000"/>
            <rFont val="Calibri"/>
            <family val="2"/>
          </rPr>
          <t>Not all alumina (about 56%) is used to produce aluminum.</t>
        </r>
        <r>
          <rPr>
            <sz val="9"/>
            <color rgb="FF000000"/>
            <rFont val="Calibri"/>
            <family val="2"/>
          </rPr>
          <t xml:space="preserve">
</t>
        </r>
        <r>
          <rPr>
            <b/>
            <sz val="9"/>
            <color rgb="FF000000"/>
            <rFont val="Tahoma"/>
            <family val="2"/>
          </rPr>
          <t xml:space="preserve">
</t>
        </r>
        <r>
          <rPr>
            <b/>
            <sz val="9"/>
            <color rgb="FF000000"/>
            <rFont val="Tahoma"/>
            <family val="2"/>
          </rPr>
          <t xml:space="preserve">
</t>
        </r>
        <r>
          <rPr>
            <b/>
            <sz val="9"/>
            <color rgb="FF000000"/>
            <rFont val="Tahoma"/>
            <family val="2"/>
          </rPr>
          <t xml:space="preserve">USGS 2020:
</t>
        </r>
        <r>
          <rPr>
            <sz val="9"/>
            <color rgb="FF000000"/>
            <rFont val="Tahoma"/>
            <family val="2"/>
          </rPr>
          <t xml:space="preserve">About 79% of the bauxite
</t>
        </r>
        <r>
          <rPr>
            <sz val="9"/>
            <color rgb="FF000000"/>
            <rFont val="Tahoma"/>
            <family val="2"/>
          </rPr>
          <t xml:space="preserve">was refined by the Bayer process for alumina or aluminum hydroxide, and the remainder went to products such as
</t>
        </r>
        <r>
          <rPr>
            <sz val="9"/>
            <color rgb="FF000000"/>
            <rFont val="Tahoma"/>
            <family val="2"/>
          </rPr>
          <t>abrasives, cement, chemicals, proppants, and refractories, and as a slag adjuster in steel mills.</t>
        </r>
      </text>
    </comment>
    <comment ref="M4" authorId="0" shapeId="0" xr:uid="{8202F60E-FBB9-6849-B5DB-0A703BD8C2C4}">
      <text>
        <r>
          <rPr>
            <b/>
            <sz val="10"/>
            <color rgb="FF000000"/>
            <rFont val="Tahoma"/>
            <family val="2"/>
          </rPr>
          <t>USGS</t>
        </r>
        <r>
          <rPr>
            <sz val="10"/>
            <color rgb="FF000000"/>
            <rFont val="Tahoma"/>
            <family val="2"/>
          </rPr>
          <t xml:space="preserve">
</t>
        </r>
      </text>
    </comment>
    <comment ref="U4" authorId="1" shapeId="0" xr:uid="{08669026-2858-42CC-A7FE-973F01CAD2C2}">
      <text>
        <r>
          <rPr>
            <sz val="9"/>
            <color indexed="81"/>
            <rFont val="Tahoma"/>
            <family val="2"/>
          </rPr>
          <t>45/63</t>
        </r>
      </text>
    </comment>
    <comment ref="E5" authorId="0" shapeId="0" xr:uid="{5D6CF8E3-1AFD-3A48-8B35-1CD6278E32A5}">
      <text>
        <r>
          <rPr>
            <b/>
            <sz val="10"/>
            <color rgb="FF000000"/>
            <rFont val="Calibri"/>
            <family val="2"/>
          </rPr>
          <t xml:space="preserve">
</t>
        </r>
        <r>
          <rPr>
            <b/>
            <sz val="10"/>
            <color rgb="FF000000"/>
            <rFont val="Calibri"/>
            <family val="2"/>
          </rPr>
          <t xml:space="preserve">This is total alumina produced (in aluminum content), not necessarily went into primary aluminum smelter
</t>
        </r>
        <r>
          <rPr>
            <b/>
            <sz val="10"/>
            <color rgb="FF000000"/>
            <rFont val="Calibri"/>
            <family val="2"/>
          </rPr>
          <t xml:space="preserve">
</t>
        </r>
        <r>
          <rPr>
            <sz val="10"/>
            <color rgb="FF000000"/>
            <rFont val="Calibri"/>
            <family val="2"/>
          </rPr>
          <t xml:space="preserve">
</t>
        </r>
        <r>
          <rPr>
            <sz val="10"/>
            <color rgb="FF000000"/>
            <rFont val="Tahoma"/>
            <family val="2"/>
          </rPr>
          <t xml:space="preserve">
</t>
        </r>
      </text>
    </comment>
    <comment ref="T6" authorId="1" shapeId="0" xr:uid="{5B84C602-AD78-4129-9988-2BEC81C9A6D8}">
      <text>
        <r>
          <rPr>
            <b/>
            <sz val="9"/>
            <color indexed="81"/>
            <rFont val="Tahoma"/>
            <family val="2"/>
          </rPr>
          <t>Determined by PCRC (below)</t>
        </r>
        <r>
          <rPr>
            <sz val="9"/>
            <color indexed="81"/>
            <rFont val="Tahoma"/>
            <family val="2"/>
          </rPr>
          <t xml:space="preserve">
</t>
        </r>
      </text>
    </comment>
    <comment ref="T7" authorId="1" shapeId="0" xr:uid="{2248FBE3-0667-4ED0-AB18-1D5D89F289E2}">
      <text>
        <r>
          <rPr>
            <b/>
            <sz val="9"/>
            <color indexed="81"/>
            <rFont val="Tahoma"/>
            <family val="2"/>
          </rPr>
          <t>Returned by Alissa's optimization model</t>
        </r>
        <r>
          <rPr>
            <sz val="9"/>
            <color indexed="81"/>
            <rFont val="Tahoma"/>
            <family val="2"/>
          </rPr>
          <t xml:space="preserve">
</t>
        </r>
      </text>
    </comment>
    <comment ref="C8" authorId="1" shapeId="0" xr:uid="{3A57C7E4-D337-43CD-A110-F49BDDB31756}">
      <text>
        <r>
          <rPr>
            <b/>
            <sz val="10"/>
            <color rgb="FF000000"/>
            <rFont val="Calibri"/>
            <family val="2"/>
          </rPr>
          <t>Not all alumina (about 56%) is used to produce aluminum.</t>
        </r>
        <r>
          <rPr>
            <sz val="10"/>
            <color rgb="FF000000"/>
            <rFont val="Calibri"/>
            <family val="2"/>
          </rPr>
          <t xml:space="preserve">
</t>
        </r>
        <r>
          <rPr>
            <sz val="10"/>
            <color rgb="FF000000"/>
            <rFont val="Tahoma"/>
            <family val="2"/>
          </rPr>
          <t xml:space="preserve">
</t>
        </r>
        <r>
          <rPr>
            <sz val="10"/>
            <color rgb="FF000000"/>
            <rFont val="Tahoma"/>
            <family val="2"/>
          </rPr>
          <t xml:space="preserve">This amount is the mass of Alumina (in aluminum content) that is used for producing primary aluminum.
</t>
        </r>
        <r>
          <rPr>
            <sz val="10"/>
            <color rgb="FF000000"/>
            <rFont val="Tahoma"/>
            <family val="2"/>
          </rPr>
          <t xml:space="preserve">
</t>
        </r>
        <r>
          <rPr>
            <sz val="10"/>
            <color rgb="FF000000"/>
            <rFont val="Tahoma"/>
            <family val="2"/>
          </rPr>
          <t xml:space="preserve">USGS:
</t>
        </r>
        <r>
          <rPr>
            <sz val="10"/>
            <color rgb="FF000000"/>
            <rFont val="Tahoma"/>
            <family val="2"/>
          </rPr>
          <t xml:space="preserve">2020: About 56% of the alumina produced went to primary
</t>
        </r>
        <r>
          <rPr>
            <sz val="10"/>
            <color rgb="FF000000"/>
            <rFont val="Tahoma"/>
            <family val="2"/>
          </rPr>
          <t xml:space="preserve">aluminum smelters, and the remainder went to nonmetallurgical products, such as abrasives, ceramics, chemicals,
</t>
        </r>
        <r>
          <rPr>
            <sz val="10"/>
            <color rgb="FF000000"/>
            <rFont val="Tahoma"/>
            <family val="2"/>
          </rPr>
          <t xml:space="preserve">and refractories.
</t>
        </r>
      </text>
    </comment>
    <comment ref="E8" authorId="1" shapeId="0" xr:uid="{A1F63002-5787-4B20-8F6D-A4A4526C5C5E}">
      <text>
        <r>
          <rPr>
            <b/>
            <sz val="9"/>
            <color rgb="FF000000"/>
            <rFont val="Tahoma"/>
            <family val="2"/>
          </rPr>
          <t>USGS 2020</t>
        </r>
        <r>
          <rPr>
            <sz val="9"/>
            <color rgb="FF000000"/>
            <rFont val="Tahoma"/>
            <family val="2"/>
          </rPr>
          <t xml:space="preserve">
</t>
        </r>
      </text>
    </comment>
    <comment ref="C9" authorId="0" shapeId="0" xr:uid="{2E6F5480-1CEF-A24D-AAA0-9A3A727E201F}">
      <text>
        <r>
          <rPr>
            <sz val="10"/>
            <color rgb="FF000000"/>
            <rFont val="Tahoma"/>
            <family val="2"/>
          </rPr>
          <t xml:space="preserve">USGS shows total alumina import for consumption is 1340 kt, which is about 670 kt Aluminum content  </t>
        </r>
      </text>
    </comment>
    <comment ref="F12" authorId="1" shapeId="0" xr:uid="{E56642CE-06A8-41F5-B553-C9CA0714E441}">
      <text>
        <r>
          <rPr>
            <sz val="9"/>
            <color rgb="FF000000"/>
            <rFont val="Tahoma"/>
            <family val="2"/>
          </rPr>
          <t xml:space="preserve">% of domestically consumed alloys that are domestically produced
</t>
        </r>
        <r>
          <rPr>
            <sz val="9"/>
            <color rgb="FF000000"/>
            <rFont val="Tahoma"/>
            <family val="2"/>
          </rPr>
          <t xml:space="preserve">High value will reduce alloy import, but increase domestic upstream production (0.8)
</t>
        </r>
      </text>
    </comment>
    <comment ref="M12" authorId="1" shapeId="0" xr:uid="{77097DC2-3859-47B4-B3A6-84C89DF8599B}">
      <text>
        <r>
          <rPr>
            <sz val="9"/>
            <color rgb="FF000000"/>
            <rFont val="Tahoma"/>
            <family val="2"/>
          </rPr>
          <t xml:space="preserve">Proportion of domestic alloy ingots that are directly produced (excluding sweetener) using domestic primary aluminum
</t>
        </r>
        <r>
          <rPr>
            <sz val="9"/>
            <color rgb="FF000000"/>
            <rFont val="Tahoma"/>
            <family val="2"/>
          </rPr>
          <t xml:space="preserve">If it is too high, the available primary aluminum [E8] may not be enough
</t>
        </r>
        <r>
          <rPr>
            <sz val="9"/>
            <color rgb="FF000000"/>
            <rFont val="Tahoma"/>
            <family val="2"/>
          </rPr>
          <t xml:space="preserve">If it is too low, more secondary alloys need to be produced, more secondary alloys need to be produced, the available scrap may not be enough  
</t>
        </r>
      </text>
    </comment>
    <comment ref="O12" authorId="1" shapeId="0" xr:uid="{8243305B-B7DB-40AF-BFF0-02065574C996}">
      <text>
        <r>
          <rPr>
            <sz val="9"/>
            <color rgb="FF000000"/>
            <rFont val="Tahoma"/>
            <family val="2"/>
          </rPr>
          <t xml:space="preserve">kg of metal sweetener per kg </t>
        </r>
        <r>
          <rPr>
            <b/>
            <sz val="9"/>
            <color rgb="FF000000"/>
            <rFont val="Tahoma"/>
            <family val="2"/>
          </rPr>
          <t>valuable</t>
        </r>
        <r>
          <rPr>
            <sz val="9"/>
            <color rgb="FF000000"/>
            <rFont val="Tahoma"/>
            <family val="2"/>
          </rPr>
          <t xml:space="preserve"> output
</t>
        </r>
        <r>
          <rPr>
            <sz val="9"/>
            <color rgb="FF000000"/>
            <rFont val="Tahoma"/>
            <family val="2"/>
          </rPr>
          <t xml:space="preserve">The sweetener can be either:
</t>
        </r>
        <r>
          <rPr>
            <sz val="9"/>
            <color rgb="FF000000"/>
            <rFont val="Tahoma"/>
            <family val="2"/>
          </rPr>
          <t xml:space="preserve">- domestic aluminum metal or 
</t>
        </r>
        <r>
          <rPr>
            <sz val="9"/>
            <color rgb="FF000000"/>
            <rFont val="Tahoma"/>
            <family val="2"/>
          </rPr>
          <t xml:space="preserve">- imported aluminum metal
</t>
        </r>
        <r>
          <rPr>
            <sz val="9"/>
            <color rgb="FF000000"/>
            <rFont val="Tahoma"/>
            <family val="2"/>
          </rPr>
          <t xml:space="preserve">
</t>
        </r>
        <r>
          <rPr>
            <sz val="9"/>
            <color rgb="FF000000"/>
            <rFont val="Tahoma"/>
            <family val="2"/>
          </rPr>
          <t>See [Mise en place] - [Deformation] for calculation</t>
        </r>
      </text>
    </comment>
    <comment ref="P12" authorId="1" shapeId="0" xr:uid="{5DABE735-DFA3-49D4-B5E6-A04D00DD11F5}">
      <text>
        <r>
          <rPr>
            <b/>
            <sz val="9"/>
            <color rgb="FF000000"/>
            <rFont val="Tahoma"/>
            <family val="2"/>
          </rPr>
          <t>The sweetener contains both domestic metal and import</t>
        </r>
        <r>
          <rPr>
            <sz val="9"/>
            <color rgb="FF000000"/>
            <rFont val="Tahoma"/>
            <family val="2"/>
          </rPr>
          <t xml:space="preserve">
</t>
        </r>
      </text>
    </comment>
    <comment ref="U12" authorId="1" shapeId="0" xr:uid="{88F3ABE4-9F45-4D33-8C3F-917D97B1DB63}">
      <text>
        <r>
          <rPr>
            <sz val="9"/>
            <color indexed="81"/>
            <rFont val="Tahoma"/>
            <family val="2"/>
          </rPr>
          <t xml:space="preserve">The proportion of post-consumer scrap within the inflow of R1 is the same as the share of post-consumer scrap content per unit of alloys made from remelted metal
</t>
        </r>
      </text>
    </comment>
    <comment ref="M13" authorId="1" shapeId="0" xr:uid="{7C23149D-B213-4698-AE99-B880DF6F0FF3}">
      <text>
        <r>
          <rPr>
            <sz val="9"/>
            <color rgb="FF000000"/>
            <rFont val="Tahoma"/>
            <family val="2"/>
          </rPr>
          <t xml:space="preserve">Weighted sum of:
</t>
        </r>
        <r>
          <rPr>
            <sz val="9"/>
            <color rgb="FF000000"/>
            <rFont val="Tahoma"/>
            <family val="2"/>
          </rPr>
          <t xml:space="preserve">- ingots used to produce can sheets [31.4%]: 0 kg` direct primary per kg ingot
</t>
        </r>
        <r>
          <rPr>
            <sz val="9"/>
            <color rgb="FF000000"/>
            <rFont val="Tahoma"/>
            <family val="2"/>
          </rPr>
          <t xml:space="preserve">- ingots used to produce trans. sheets [29.3%]: 0.283 kg direct primary per kg ingot
</t>
        </r>
        <r>
          <rPr>
            <sz val="9"/>
            <color rgb="FF000000"/>
            <rFont val="Tahoma"/>
            <family val="2"/>
          </rPr>
          <t xml:space="preserve">- ingots used to produce foil sheets [13.8%]: 0 kg direct primary per kg ingot
</t>
        </r>
        <r>
          <rPr>
            <sz val="9"/>
            <color rgb="FF000000"/>
            <rFont val="Tahoma"/>
            <family val="2"/>
          </rPr>
          <t xml:space="preserve">- ingots used to produce non-can-non-automotive sheet [25.5%]: 0 kg direct primary per kg ingot
</t>
        </r>
        <r>
          <rPr>
            <sz val="9"/>
            <color rgb="FF000000"/>
            <rFont val="Tahoma"/>
            <family val="2"/>
          </rPr>
          <t xml:space="preserve">
</t>
        </r>
        <r>
          <rPr>
            <sz val="9"/>
            <color rgb="FF000000"/>
            <rFont val="Tahoma"/>
            <family val="2"/>
          </rPr>
          <t xml:space="preserve">
</t>
        </r>
      </text>
    </comment>
    <comment ref="O13" authorId="1" shapeId="0" xr:uid="{EB8E9C2B-BD22-4E6D-B718-289201AD5FC1}">
      <text>
        <r>
          <rPr>
            <sz val="9"/>
            <color rgb="FF000000"/>
            <rFont val="Tahoma"/>
            <family val="2"/>
          </rPr>
          <t xml:space="preserve">Weighted sum of:
</t>
        </r>
        <r>
          <rPr>
            <sz val="9"/>
            <color rgb="FF000000"/>
            <rFont val="Tahoma"/>
            <family val="2"/>
          </rPr>
          <t>- ingot used to produce can sheets [</t>
        </r>
        <r>
          <rPr>
            <b/>
            <sz val="9"/>
            <color rgb="FF000000"/>
            <rFont val="Tahoma"/>
            <family val="2"/>
          </rPr>
          <t>31.4%</t>
        </r>
        <r>
          <rPr>
            <sz val="9"/>
            <color rgb="FF000000"/>
            <rFont val="Tahoma"/>
            <family val="2"/>
          </rPr>
          <t xml:space="preserve">]: </t>
        </r>
        <r>
          <rPr>
            <b/>
            <sz val="9"/>
            <color rgb="FF000000"/>
            <rFont val="Tahoma"/>
            <family val="2"/>
          </rPr>
          <t xml:space="preserve">0.214 </t>
        </r>
        <r>
          <rPr>
            <sz val="9"/>
            <color rgb="FF000000"/>
            <rFont val="Tahoma"/>
            <family val="2"/>
          </rPr>
          <t xml:space="preserve">kg` of sweetener per kg ingot
</t>
        </r>
        <r>
          <rPr>
            <sz val="9"/>
            <color rgb="FF000000"/>
            <rFont val="Tahoma"/>
            <family val="2"/>
          </rPr>
          <t>- ingots used to produce trans. sheets [</t>
        </r>
        <r>
          <rPr>
            <b/>
            <sz val="9"/>
            <color rgb="FF000000"/>
            <rFont val="Tahoma"/>
            <family val="2"/>
          </rPr>
          <t>29.3%</t>
        </r>
        <r>
          <rPr>
            <sz val="9"/>
            <color rgb="FF000000"/>
            <rFont val="Tahoma"/>
            <family val="2"/>
          </rPr>
          <t xml:space="preserve">]: </t>
        </r>
        <r>
          <rPr>
            <b/>
            <sz val="9"/>
            <color rgb="FF000000"/>
            <rFont val="Tahoma"/>
            <family val="2"/>
          </rPr>
          <t xml:space="preserve">0.216 </t>
        </r>
        <r>
          <rPr>
            <sz val="9"/>
            <color rgb="FF000000"/>
            <rFont val="Tahoma"/>
            <family val="2"/>
          </rPr>
          <t xml:space="preserve">kg of sweetener per kg ingot
</t>
        </r>
        <r>
          <rPr>
            <sz val="9"/>
            <color rgb="FF000000"/>
            <rFont val="Tahoma"/>
            <family val="2"/>
          </rPr>
          <t>- ingots used to produce foil sheets [</t>
        </r>
        <r>
          <rPr>
            <b/>
            <sz val="9"/>
            <color rgb="FF000000"/>
            <rFont val="Tahoma"/>
            <family val="2"/>
          </rPr>
          <t>13.8%</t>
        </r>
        <r>
          <rPr>
            <sz val="9"/>
            <color rgb="FF000000"/>
            <rFont val="Tahoma"/>
            <family val="2"/>
          </rPr>
          <t xml:space="preserve">]: </t>
        </r>
        <r>
          <rPr>
            <b/>
            <sz val="9"/>
            <color rgb="FF000000"/>
            <rFont val="Tahoma"/>
            <family val="2"/>
          </rPr>
          <t>0.177</t>
        </r>
        <r>
          <rPr>
            <sz val="9"/>
            <color rgb="FF000000"/>
            <rFont val="Tahoma"/>
            <family val="2"/>
          </rPr>
          <t xml:space="preserve"> kg of sweetener per kg ingot
</t>
        </r>
        <r>
          <rPr>
            <sz val="9"/>
            <color rgb="FF000000"/>
            <rFont val="Tahoma"/>
            <family val="2"/>
          </rPr>
          <t>- ingots used to produce non-can-non-automotive sheet [</t>
        </r>
        <r>
          <rPr>
            <b/>
            <sz val="9"/>
            <color rgb="FF000000"/>
            <rFont val="Tahoma"/>
            <family val="2"/>
          </rPr>
          <t>25.5%</t>
        </r>
        <r>
          <rPr>
            <sz val="9"/>
            <color rgb="FF000000"/>
            <rFont val="Tahoma"/>
            <family val="2"/>
          </rPr>
          <t xml:space="preserve">]: </t>
        </r>
        <r>
          <rPr>
            <b/>
            <sz val="9"/>
            <color rgb="FF000000"/>
            <rFont val="Tahoma"/>
            <family val="2"/>
          </rPr>
          <t>0.177</t>
        </r>
        <r>
          <rPr>
            <sz val="9"/>
            <color rgb="FF000000"/>
            <rFont val="Tahoma"/>
            <family val="2"/>
          </rPr>
          <t xml:space="preserve"> kg of sweetener per kg ingots
</t>
        </r>
        <r>
          <rPr>
            <sz val="9"/>
            <color rgb="FF000000"/>
            <rFont val="Tahoma"/>
            <family val="2"/>
          </rPr>
          <t xml:space="preserve">
</t>
        </r>
        <r>
          <rPr>
            <sz val="9"/>
            <color rgb="FF000000"/>
            <rFont val="Tahoma"/>
            <family val="2"/>
          </rPr>
          <t>`Sphera Solutions, Life Cycle Assessment of North American Aluminum Cans On behalf of The Aluminum Association, p33, 2021</t>
        </r>
      </text>
    </comment>
    <comment ref="T13" authorId="1" shapeId="0" xr:uid="{C12B14AF-1AF8-47F4-A85C-60AD7CDEE123}">
      <text>
        <r>
          <rPr>
            <b/>
            <sz val="9"/>
            <color indexed="81"/>
            <rFont val="Tahoma"/>
            <family val="2"/>
          </rPr>
          <t>Determined by efficiency</t>
        </r>
        <r>
          <rPr>
            <sz val="9"/>
            <color indexed="81"/>
            <rFont val="Tahoma"/>
            <family val="2"/>
          </rPr>
          <t xml:space="preserve">
</t>
        </r>
      </text>
    </comment>
    <comment ref="I14" authorId="1" shapeId="0" xr:uid="{FED584F0-AAA4-4325-858E-7B30973FAEF8}">
      <text>
        <r>
          <rPr>
            <b/>
            <sz val="9"/>
            <color rgb="FF000000"/>
            <rFont val="Tahoma"/>
            <family val="2"/>
          </rPr>
          <t>Greg, export/dom-to-dom</t>
        </r>
        <r>
          <rPr>
            <sz val="9"/>
            <color rgb="FF000000"/>
            <rFont val="Tahoma"/>
            <family val="2"/>
          </rPr>
          <t xml:space="preserve">
</t>
        </r>
      </text>
    </comment>
    <comment ref="M14" authorId="1" shapeId="0" xr:uid="{9A1F1B83-70F4-461C-8C8E-E66A8B33DBDA}">
      <text>
        <r>
          <rPr>
            <b/>
            <sz val="9"/>
            <color rgb="FF000000"/>
            <rFont val="Tahoma"/>
            <family val="2"/>
          </rPr>
          <t>Greg's pie chart</t>
        </r>
        <r>
          <rPr>
            <sz val="9"/>
            <color rgb="FF000000"/>
            <rFont val="Tahoma"/>
            <family val="2"/>
          </rPr>
          <t xml:space="preserve">
</t>
        </r>
      </text>
    </comment>
    <comment ref="O14" authorId="1" shapeId="0" xr:uid="{4483596D-E42D-4036-8FEA-50045A0FFA49}">
      <text>
        <r>
          <rPr>
            <sz val="9"/>
            <color rgb="FF000000"/>
            <rFont val="Tahoma"/>
            <family val="2"/>
          </rPr>
          <t xml:space="preserve">kg Primary/kg-ingot - kg Direct Primary/kg-ingot
</t>
        </r>
      </text>
    </comment>
    <comment ref="F22" authorId="1" shapeId="0" xr:uid="{03006783-49A1-409A-BCE6-89BA46DD1B01}">
      <text>
        <r>
          <rPr>
            <sz val="9"/>
            <color rgb="FF000000"/>
            <rFont val="Tahoma"/>
            <family val="2"/>
          </rPr>
          <t xml:space="preserve">High value will reduce alloy import, but increase domestic upstream production
</t>
        </r>
        <r>
          <rPr>
            <sz val="9"/>
            <color rgb="FF000000"/>
            <rFont val="Tahoma"/>
            <family val="2"/>
          </rPr>
          <t>0.9</t>
        </r>
      </text>
    </comment>
    <comment ref="M22" authorId="1" shapeId="0" xr:uid="{D0DD7C00-E379-460E-8E25-301D8D55599D}">
      <text>
        <r>
          <rPr>
            <sz val="9"/>
            <color rgb="FF000000"/>
            <rFont val="Tahoma"/>
            <family val="2"/>
          </rPr>
          <t xml:space="preserve">Proportion of domestic alloy ingots that are directly produced (excluding sweetener) using domestic primary aluminum
</t>
        </r>
        <r>
          <rPr>
            <sz val="9"/>
            <color rgb="FF000000"/>
            <rFont val="Tahoma"/>
            <family val="2"/>
          </rPr>
          <t xml:space="preserve">If it is too high, the available primary aluminum [E8] may not be enough
</t>
        </r>
        <r>
          <rPr>
            <sz val="9"/>
            <color rgb="FF000000"/>
            <rFont val="Tahoma"/>
            <family val="2"/>
          </rPr>
          <t>If it is too low, more secondary alloys need to be produced, the available scrap may not be enough</t>
        </r>
        <r>
          <rPr>
            <b/>
            <sz val="9"/>
            <color rgb="FF000000"/>
            <rFont val="Tahoma"/>
            <family val="2"/>
          </rPr>
          <t xml:space="preserve"> </t>
        </r>
        <r>
          <rPr>
            <sz val="9"/>
            <color rgb="FF000000"/>
            <rFont val="Tahoma"/>
            <family val="2"/>
          </rPr>
          <t xml:space="preserve">
</t>
        </r>
      </text>
    </comment>
    <comment ref="O22" authorId="1" shapeId="0" xr:uid="{C28D9004-C934-4563-966E-14515030F0D5}">
      <text>
        <r>
          <rPr>
            <sz val="9"/>
            <color rgb="FF000000"/>
            <rFont val="Tahoma"/>
            <family val="2"/>
          </rPr>
          <t xml:space="preserve">kg of metal sweetener per kg recycled ingot
</t>
        </r>
        <r>
          <rPr>
            <sz val="9"/>
            <color rgb="FF000000"/>
            <rFont val="Tahoma"/>
            <family val="2"/>
          </rPr>
          <t xml:space="preserve">The sweetener can be either:
</t>
        </r>
        <r>
          <rPr>
            <sz val="9"/>
            <color rgb="FF000000"/>
            <rFont val="Tahoma"/>
            <family val="2"/>
          </rPr>
          <t xml:space="preserve">- domestic aluminum metal or 
</t>
        </r>
        <r>
          <rPr>
            <sz val="9"/>
            <color rgb="FF000000"/>
            <rFont val="Tahoma"/>
            <family val="2"/>
          </rPr>
          <t xml:space="preserve">- imported aluminum metal
</t>
        </r>
        <r>
          <rPr>
            <sz val="9"/>
            <color rgb="FF000000"/>
            <rFont val="Tahoma"/>
            <family val="2"/>
          </rPr>
          <t xml:space="preserve">
</t>
        </r>
        <r>
          <rPr>
            <sz val="9"/>
            <color rgb="FF000000"/>
            <rFont val="Tahoma"/>
            <family val="2"/>
          </rPr>
          <t xml:space="preserve">See [Mise en place] - [Recycling] for calculation
</t>
        </r>
      </text>
    </comment>
    <comment ref="P22" authorId="1" shapeId="0" xr:uid="{05287459-55E9-4731-9351-A10B2B65272A}">
      <text>
        <r>
          <rPr>
            <b/>
            <sz val="9"/>
            <color rgb="FF000000"/>
            <rFont val="Tahoma"/>
            <family val="2"/>
          </rPr>
          <t>The sweetener contains both domestic metal and import</t>
        </r>
        <r>
          <rPr>
            <sz val="9"/>
            <color rgb="FF000000"/>
            <rFont val="Tahoma"/>
            <family val="2"/>
          </rPr>
          <t xml:space="preserve">
</t>
        </r>
      </text>
    </comment>
    <comment ref="M23" authorId="0" shapeId="0" xr:uid="{E49EBF2F-4AD7-5744-B772-72BA8B0EB410}">
      <text>
        <r>
          <rPr>
            <b/>
            <sz val="10"/>
            <color rgb="FF000000"/>
            <rFont val="Calibri"/>
            <family val="2"/>
          </rPr>
          <t>Mise en place - Casting</t>
        </r>
        <r>
          <rPr>
            <sz val="10"/>
            <color rgb="FF000000"/>
            <rFont val="Calibri"/>
            <family val="2"/>
          </rPr>
          <t xml:space="preserve">
</t>
        </r>
        <r>
          <rPr>
            <sz val="10"/>
            <color rgb="FF000000"/>
            <rFont val="Calibri"/>
            <family val="2"/>
          </rPr>
          <t xml:space="preserve">The 1045 kg ingots break down to:
</t>
        </r>
        <r>
          <rPr>
            <b/>
            <sz val="10"/>
            <color rgb="FF000000"/>
            <rFont val="Calibri"/>
            <family val="2"/>
          </rPr>
          <t xml:space="preserve">- </t>
        </r>
        <r>
          <rPr>
            <sz val="10"/>
            <color rgb="FF000000"/>
            <rFont val="Calibri"/>
            <family val="2"/>
          </rPr>
          <t xml:space="preserve">157 kg primary
</t>
        </r>
        <r>
          <rPr>
            <sz val="10"/>
            <color rgb="FF000000"/>
            <rFont val="Calibri"/>
            <family val="2"/>
          </rPr>
          <t xml:space="preserve">- 888 kg secondary
</t>
        </r>
      </text>
    </comment>
    <comment ref="O23" authorId="1" shapeId="0" xr:uid="{78EC89C9-F7DD-4C7D-ABDF-E58CFFB9C964}">
      <text>
        <r>
          <rPr>
            <sz val="10"/>
            <color rgb="FF000000"/>
            <rFont val="Calibri"/>
            <family val="2"/>
          </rPr>
          <t xml:space="preserve">0.055 kg sweetener per kg recycled ingot,
</t>
        </r>
        <r>
          <rPr>
            <sz val="10"/>
            <color rgb="FF000000"/>
            <rFont val="Calibri"/>
            <family val="2"/>
          </rPr>
          <t>85% recycled ingot per kg alloy</t>
        </r>
      </text>
    </comment>
    <comment ref="U23" authorId="0" shapeId="0" xr:uid="{B9CC7E7D-02ED-8149-B214-5FD73ECAE98A}">
      <text>
        <r>
          <rPr>
            <b/>
            <sz val="10"/>
            <color rgb="FF000000"/>
            <rFont val="Tahoma"/>
            <family val="2"/>
          </rPr>
          <t xml:space="preserve">Mise en place:
</t>
        </r>
        <r>
          <rPr>
            <b/>
            <sz val="10"/>
            <color rgb="FF000000"/>
            <rFont val="Tahoma"/>
            <family val="2"/>
          </rPr>
          <t>At least 30%</t>
        </r>
        <r>
          <rPr>
            <sz val="10"/>
            <color rgb="FF000000"/>
            <rFont val="Tahoma"/>
            <family val="2"/>
          </rPr>
          <t xml:space="preserve">
</t>
        </r>
      </text>
    </comment>
    <comment ref="M24" authorId="0" shapeId="0" xr:uid="{CF37D5E9-1119-974D-AFC9-EF715F668D26}">
      <text>
        <r>
          <rPr>
            <b/>
            <sz val="10"/>
            <color rgb="FF000000"/>
            <rFont val="Tahoma"/>
            <family val="2"/>
          </rPr>
          <t xml:space="preserve">AA P126:
</t>
        </r>
        <r>
          <rPr>
            <sz val="10"/>
            <color rgb="FF000000"/>
            <rFont val="Calibri"/>
            <family val="2"/>
          </rPr>
          <t xml:space="preserve">sand casting technology and average recycled metal content was 85 percent; 
</t>
        </r>
        <r>
          <rPr>
            <sz val="10"/>
            <color rgb="FF000000"/>
            <rFont val="Tahoma"/>
            <family val="2"/>
          </rPr>
          <t xml:space="preserve">
</t>
        </r>
      </text>
    </comment>
    <comment ref="D33" authorId="0" shapeId="0" xr:uid="{39CBF204-BB82-7E49-A6A5-8668B4F80458}">
      <text>
        <r>
          <rPr>
            <sz val="10"/>
            <color rgb="FF000000"/>
            <rFont val="Tahoma"/>
            <family val="2"/>
          </rPr>
          <t xml:space="preserve">Lower value result in lower alloy import 
</t>
        </r>
        <r>
          <rPr>
            <sz val="10"/>
            <color rgb="FF000000"/>
            <rFont val="Tahoma"/>
            <family val="2"/>
          </rPr>
          <t xml:space="preserve">but higher metal import
</t>
        </r>
        <r>
          <rPr>
            <sz val="10"/>
            <color rgb="FF000000"/>
            <rFont val="Tahoma"/>
            <family val="2"/>
          </rPr>
          <t xml:space="preserve">
</t>
        </r>
      </text>
    </comment>
    <comment ref="D39" authorId="0" shapeId="0" xr:uid="{21AA5E9B-299E-9E47-8E53-3D5410894D99}">
      <text>
        <r>
          <rPr>
            <sz val="10"/>
            <color rgb="FF000000"/>
            <rFont val="Tahoma"/>
            <family val="2"/>
          </rPr>
          <t>Lower value result in lower metal import for sweetener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Allen Deng</author>
    <author>Microsoft Office User</author>
  </authors>
  <commentList>
    <comment ref="H1" authorId="0" shapeId="0" xr:uid="{829F6959-272B-4605-99AC-226023DE0ED6}">
      <text>
        <r>
          <rPr>
            <b/>
            <sz val="9"/>
            <color indexed="81"/>
            <rFont val="Tahoma"/>
            <family val="2"/>
          </rPr>
          <t>YX
2020 EoL scrap BAU</t>
        </r>
        <r>
          <rPr>
            <sz val="9"/>
            <color indexed="81"/>
            <rFont val="Tahoma"/>
            <family val="2"/>
          </rPr>
          <t xml:space="preserve">
</t>
        </r>
      </text>
    </comment>
    <comment ref="I1" authorId="0" shapeId="0" xr:uid="{9A408D24-9A3B-4EED-BCC3-2ABC89842625}">
      <text>
        <r>
          <rPr>
            <b/>
            <sz val="9"/>
            <color indexed="81"/>
            <rFont val="Tahoma"/>
            <family val="2"/>
          </rPr>
          <t>YX
2020 EoL scrap BAU</t>
        </r>
        <r>
          <rPr>
            <sz val="9"/>
            <color indexed="81"/>
            <rFont val="Tahoma"/>
            <family val="2"/>
          </rPr>
          <t xml:space="preserve">
</t>
        </r>
      </text>
    </comment>
    <comment ref="J1" authorId="1" shapeId="0" xr:uid="{C584C450-F916-3F49-A08A-F4502718AD17}">
      <text>
        <r>
          <rPr>
            <b/>
            <sz val="10"/>
            <color rgb="FF000000"/>
            <rFont val="Tahoma"/>
            <family val="2"/>
          </rPr>
          <t>Dom to Dom semi shipment</t>
        </r>
        <r>
          <rPr>
            <sz val="10"/>
            <color rgb="FF000000"/>
            <rFont val="Tahoma"/>
            <family val="2"/>
          </rPr>
          <t xml:space="preserve">
</t>
        </r>
      </text>
    </comment>
    <comment ref="L1" authorId="0" shapeId="0" xr:uid="{9A7CCBE2-9B68-485B-B60E-5284E4804E0F}">
      <text>
        <r>
          <rPr>
            <sz val="9"/>
            <color indexed="81"/>
            <rFont val="Tahoma"/>
            <family val="2"/>
          </rPr>
          <t xml:space="preserve">The total inflow of P1 - P8, including:
- dom-to-dom semi shipment from F1 - SC3 (column Q)
- imported semi (column R)
</t>
        </r>
      </text>
    </comment>
    <comment ref="N1" authorId="0" shapeId="0" xr:uid="{D309C2BD-0B24-49B3-9AAB-9ABDB5E95E73}">
      <text>
        <r>
          <rPr>
            <b/>
            <sz val="9"/>
            <color indexed="81"/>
            <rFont val="Tahoma"/>
            <family val="2"/>
          </rPr>
          <t>UN Comtrade</t>
        </r>
        <r>
          <rPr>
            <sz val="9"/>
            <color indexed="81"/>
            <rFont val="Tahoma"/>
            <family val="2"/>
          </rPr>
          <t xml:space="preserve">
</t>
        </r>
      </text>
    </comment>
    <comment ref="O1" authorId="0" shapeId="0" xr:uid="{131D59A5-64DC-410A-B855-A40E0332FDCC}">
      <text>
        <r>
          <rPr>
            <b/>
            <sz val="9"/>
            <color indexed="81"/>
            <rFont val="Tahoma"/>
            <family val="2"/>
          </rPr>
          <t>UN Comtrade</t>
        </r>
        <r>
          <rPr>
            <sz val="9"/>
            <color indexed="81"/>
            <rFont val="Tahoma"/>
            <family val="2"/>
          </rPr>
          <t xml:space="preserve">
</t>
        </r>
      </text>
    </comment>
    <comment ref="P1" authorId="0" shapeId="0" xr:uid="{2DEA2896-044A-4CA6-89D0-EE679B53EC2C}">
      <text>
        <r>
          <rPr>
            <b/>
            <sz val="9"/>
            <color rgb="FF000000"/>
            <rFont val="Tahoma"/>
            <family val="2"/>
          </rPr>
          <t xml:space="preserve">DMFA_BAU_results_only
</t>
        </r>
        <r>
          <rPr>
            <b/>
            <sz val="9"/>
            <color rgb="FF000000"/>
            <rFont val="Tahoma"/>
            <family val="2"/>
          </rPr>
          <t xml:space="preserve">- Aluminum DMFA
</t>
        </r>
        <r>
          <rPr>
            <b/>
            <sz val="9"/>
            <color rgb="FF000000"/>
            <rFont val="Tahoma"/>
            <family val="2"/>
          </rPr>
          <t xml:space="preserve">
</t>
        </r>
        <r>
          <rPr>
            <b/>
            <sz val="9"/>
            <color rgb="FF000000"/>
            <rFont val="Tahoma"/>
            <family val="2"/>
          </rPr>
          <t>For US only</t>
        </r>
        <r>
          <rPr>
            <sz val="9"/>
            <color rgb="FF000000"/>
            <rFont val="Tahoma"/>
            <family val="2"/>
          </rPr>
          <t xml:space="preserve">
</t>
        </r>
      </text>
    </comment>
    <comment ref="S1" authorId="0" shapeId="0" xr:uid="{A923BAAE-5639-4ABD-8564-E853838D0BC9}">
      <text>
        <r>
          <rPr>
            <b/>
            <sz val="9"/>
            <color indexed="81"/>
            <rFont val="Tahoma"/>
            <family val="2"/>
          </rPr>
          <t xml:space="preserve">Alissa's DMFA
- </t>
        </r>
        <r>
          <rPr>
            <sz val="9"/>
            <color indexed="81"/>
            <rFont val="Tahoma"/>
            <family val="2"/>
          </rPr>
          <t>D202 for most
- BF107 for LDV</t>
        </r>
      </text>
    </comment>
    <comment ref="I10" authorId="0" shapeId="0" xr:uid="{0CE8C8FD-B8C2-4897-B607-0C96DD89F7F6}">
      <text>
        <r>
          <rPr>
            <sz val="9"/>
            <color rgb="FF000000"/>
            <rFont val="Tahoma"/>
            <family val="2"/>
          </rPr>
          <t xml:space="preserve">The total potential EOL recycled in the USA
</t>
        </r>
      </text>
    </comment>
    <comment ref="K10" authorId="0" shapeId="0" xr:uid="{C822D703-5723-4F30-B8D0-C60E60580B66}">
      <text>
        <r>
          <rPr>
            <sz val="9"/>
            <color indexed="81"/>
            <rFont val="Tahoma"/>
            <family val="2"/>
          </rPr>
          <t xml:space="preserve">Finetune the following:
- fab efficiency (column O)
- [Raw]: dom ratios of semi
</t>
        </r>
      </text>
    </comment>
    <comment ref="L10" authorId="0" shapeId="0" xr:uid="{501FE822-F867-4024-B321-EEDC25B886A8}">
      <text>
        <r>
          <rPr>
            <sz val="9"/>
            <color indexed="81"/>
            <rFont val="Tahoma"/>
            <family val="2"/>
          </rPr>
          <t xml:space="preserve">Domestically consumed semi, equals to the summation of cross-sector shipments from YX's data.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Allen Deng</author>
    <author>Microsoft Office User</author>
  </authors>
  <commentList>
    <comment ref="E1" authorId="0" shapeId="0" xr:uid="{857CC128-42E0-4310-B153-486EA9D9A7D7}">
      <text>
        <r>
          <rPr>
            <b/>
            <sz val="9"/>
            <color rgb="FF000000"/>
            <rFont val="Tahoma"/>
            <family val="2"/>
          </rPr>
          <t>kg CO2e/kg-in</t>
        </r>
        <r>
          <rPr>
            <sz val="9"/>
            <color rgb="FF000000"/>
            <rFont val="Tahoma"/>
            <family val="2"/>
          </rPr>
          <t xml:space="preserve">
</t>
        </r>
      </text>
    </comment>
    <comment ref="F1" authorId="0" shapeId="0" xr:uid="{7B566BAA-136F-471D-8C6B-BF55AE55FEDA}">
      <text>
        <r>
          <rPr>
            <sz val="9"/>
            <color indexed="81"/>
            <rFont val="Tahoma"/>
            <family val="2"/>
          </rPr>
          <t xml:space="preserve">Import feedstock
</t>
        </r>
      </text>
    </comment>
    <comment ref="G1" authorId="0" shapeId="0" xr:uid="{D7754FF1-7290-4B67-AFE1-60BAD06F5FA9}">
      <text>
        <r>
          <rPr>
            <sz val="9"/>
            <color rgb="FF000000"/>
            <rFont val="Tahoma"/>
            <family val="2"/>
          </rPr>
          <t xml:space="preserve">kg CO2e/kg-in
</t>
        </r>
        <r>
          <rPr>
            <sz val="9"/>
            <color rgb="FF000000"/>
            <rFont val="Tahoma"/>
            <family val="2"/>
          </rPr>
          <t>Cradle-to-gate carbon intensity for producing imported feedstock</t>
        </r>
      </text>
    </comment>
    <comment ref="I1" authorId="0" shapeId="0" xr:uid="{117169CA-B557-488F-BBF3-0DC5BBE3E2C3}">
      <text>
        <r>
          <rPr>
            <sz val="9"/>
            <color rgb="FF000000"/>
            <rFont val="Tahoma"/>
            <family val="2"/>
          </rPr>
          <t xml:space="preserve">MJ-delivered/kg-in
</t>
        </r>
      </text>
    </comment>
    <comment ref="M1" authorId="0" shapeId="0" xr:uid="{58CA09C6-4E18-4C83-B881-2796FC265867}">
      <text>
        <r>
          <rPr>
            <b/>
            <sz val="9"/>
            <color rgb="FF000000"/>
            <rFont val="Tahoma"/>
            <family val="2"/>
          </rPr>
          <t>kgCO2e/MJ-delivered</t>
        </r>
        <r>
          <rPr>
            <sz val="9"/>
            <color rgb="FF000000"/>
            <rFont val="Tahoma"/>
            <family val="2"/>
          </rPr>
          <t xml:space="preserve">
</t>
        </r>
      </text>
    </comment>
    <comment ref="N1" authorId="0" shapeId="0" xr:uid="{7B7AB1EE-AA60-41BB-86E5-ED493845C452}">
      <text>
        <r>
          <rPr>
            <b/>
            <sz val="9"/>
            <color rgb="FF000000"/>
            <rFont val="Tahoma"/>
            <family val="2"/>
          </rPr>
          <t>kg CO2e/kg-in</t>
        </r>
        <r>
          <rPr>
            <sz val="9"/>
            <color rgb="FF000000"/>
            <rFont val="Tahoma"/>
            <family val="2"/>
          </rPr>
          <t xml:space="preserve">
Energg-related emission</t>
        </r>
      </text>
    </comment>
    <comment ref="O1" authorId="1" shapeId="0" xr:uid="{5A3BB5A7-07B4-C640-98B8-2A0915DB1081}">
      <text>
        <r>
          <rPr>
            <b/>
            <sz val="10"/>
            <color rgb="FF000000"/>
            <rFont val="Calibri"/>
            <family val="2"/>
            <scheme val="minor"/>
          </rPr>
          <t>kg CO2e/kg-in</t>
        </r>
        <r>
          <rPr>
            <sz val="10"/>
            <color rgb="FF000000"/>
            <rFont val="Calibri"/>
            <family val="2"/>
            <scheme val="minor"/>
          </rPr>
          <t xml:space="preserve">
Non-energy emissions, e.g., Process direct emission</t>
        </r>
      </text>
    </comment>
    <comment ref="E2" authorId="0" shapeId="0" xr:uid="{FD0A8C33-3D24-4FF2-8228-9369FE13F228}">
      <text>
        <r>
          <rPr>
            <sz val="9"/>
            <color indexed="81"/>
            <rFont val="Tahoma"/>
            <family val="2"/>
          </rPr>
          <t xml:space="preserve">Mise en place [import CF]
US Bayer gtg kg CO2e/kg-out
</t>
        </r>
      </text>
    </comment>
    <comment ref="G3" authorId="0" shapeId="0" xr:uid="{4BC7C812-420B-471C-BC95-CA52EE8C681B}">
      <text>
        <r>
          <rPr>
            <sz val="9"/>
            <color indexed="81"/>
            <rFont val="Tahoma"/>
            <family val="2"/>
          </rPr>
          <t>Average of imported shapes: 5.273</t>
        </r>
        <r>
          <rPr>
            <b/>
            <sz val="9"/>
            <color indexed="81"/>
            <rFont val="Tahoma"/>
            <family val="2"/>
          </rPr>
          <t xml:space="preserve">
</t>
        </r>
      </text>
    </comment>
    <comment ref="I3" authorId="0" shapeId="0" xr:uid="{BC9D7626-2CBD-403C-AD4F-8D46E043B4AD}">
      <text>
        <r>
          <rPr>
            <b/>
            <sz val="9"/>
            <color indexed="81"/>
            <rFont val="Tahoma"/>
            <family val="2"/>
          </rPr>
          <t>Estimated to be 10% of melting</t>
        </r>
      </text>
    </comment>
    <comment ref="G4" authorId="0" shapeId="0" xr:uid="{411AE9A1-46CC-4894-B39B-D375C49C11E1}">
      <text>
        <r>
          <rPr>
            <b/>
            <sz val="9"/>
            <color indexed="81"/>
            <rFont val="Tahoma"/>
            <family val="2"/>
          </rPr>
          <t>Mise en place [import CF]</t>
        </r>
        <r>
          <rPr>
            <sz val="9"/>
            <color indexed="81"/>
            <rFont val="Tahoma"/>
            <family val="2"/>
          </rPr>
          <t xml:space="preserve">
ctg Alumina kgCO2e/kg-import</t>
        </r>
      </text>
    </comment>
    <comment ref="M4" authorId="0" shapeId="0" xr:uid="{D72DA83B-A8E1-4F20-81B9-AA7254D74B18}">
      <text>
        <r>
          <rPr>
            <sz val="9"/>
            <color rgb="FF000000"/>
            <rFont val="Tahoma"/>
            <family val="2"/>
          </rPr>
          <t xml:space="preserve">multiplier applied for the carbon intensity of electrolysis electricity
</t>
        </r>
      </text>
    </comment>
    <comment ref="G9" authorId="0" shapeId="0" xr:uid="{448083DF-F4C4-42F7-9990-C4AC68165B19}">
      <text>
        <r>
          <rPr>
            <sz val="9"/>
            <color rgb="FF000000"/>
            <rFont val="Tahoma"/>
            <family val="2"/>
          </rPr>
          <t xml:space="preserve">Mise en place [import CF]
</t>
        </r>
        <r>
          <rPr>
            <sz val="9"/>
            <color rgb="FF000000"/>
            <rFont val="Tahoma"/>
            <family val="2"/>
          </rPr>
          <t xml:space="preserve">Cradle-to-gate kg CO2e/kg-import
</t>
        </r>
        <r>
          <rPr>
            <sz val="9"/>
            <color rgb="FF000000"/>
            <rFont val="Tahoma"/>
            <family val="2"/>
          </rPr>
          <t>Wrought Ingot</t>
        </r>
      </text>
    </comment>
    <comment ref="L9" authorId="1" shapeId="0" xr:uid="{8110A7C6-EEE1-4547-8A58-9026443146AF}">
      <text>
        <r>
          <rPr>
            <sz val="10"/>
            <color rgb="FF000000"/>
            <rFont val="Tahoma"/>
            <family val="2"/>
          </rPr>
          <t xml:space="preserve">Calculated based on CF_Ref
[0.154(1-x)+0.0061x]*ele%
+0.069*NG% = CF/E
LHS is carbon intensity in </t>
        </r>
        <r>
          <rPr>
            <b/>
            <sz val="10"/>
            <color rgb="FF000000"/>
            <rFont val="Tahoma"/>
            <family val="2"/>
          </rPr>
          <t>kgCO2/MJ-delivered</t>
        </r>
      </text>
    </comment>
    <comment ref="G13" authorId="0" shapeId="0" xr:uid="{AC3FD19A-4EE8-43EE-BB62-119F815139B9}">
      <text>
        <r>
          <rPr>
            <sz val="9"/>
            <color rgb="FF000000"/>
            <rFont val="Tahoma"/>
            <family val="2"/>
          </rPr>
          <t>Mise en place [import CF]
Cradle-to-gate kg CO2e/kg-import
Foundry Ingot</t>
        </r>
      </text>
    </comment>
    <comment ref="I17" authorId="0" shapeId="0" xr:uid="{6579070C-449C-42C9-92AA-1BB6F5EEDB64}">
      <text>
        <r>
          <rPr>
            <sz val="9"/>
            <color rgb="FF000000"/>
            <rFont val="Tahoma"/>
            <family val="2"/>
          </rPr>
          <t xml:space="preserve">Delivered energy (Mohammad):
</t>
        </r>
        <r>
          <rPr>
            <sz val="9"/>
            <color rgb="FF000000"/>
            <rFont val="Tahoma"/>
            <family val="2"/>
          </rPr>
          <t xml:space="preserve">Blanking: </t>
        </r>
        <r>
          <rPr>
            <sz val="10"/>
            <color rgb="FF000000"/>
            <rFont val="Calibri"/>
            <family val="2"/>
          </rPr>
          <t>0.09 MJ/kg-in in electricity</t>
        </r>
        <r>
          <rPr>
            <sz val="9"/>
            <color rgb="FF000000"/>
            <rFont val="Calibri"/>
            <family val="2"/>
          </rPr>
          <t xml:space="preserve"> 
</t>
        </r>
        <r>
          <rPr>
            <sz val="9"/>
            <color rgb="FF000000"/>
            <rFont val="Tahoma"/>
            <family val="2"/>
          </rPr>
          <t xml:space="preserve">Stamping: 0.296 MJ/kg-in
</t>
        </r>
        <r>
          <rPr>
            <sz val="9"/>
            <color rgb="FF000000"/>
            <rFont val="Tahoma"/>
            <family val="2"/>
          </rPr>
          <t xml:space="preserve">Assembly: 1.18 MJ/kg-in in electricity, and 1.67MJ/kg-in NG
</t>
        </r>
      </text>
    </comment>
    <comment ref="I36" authorId="0" shapeId="0" xr:uid="{BD017CFF-6830-40FB-A04B-E9D39868B97A}">
      <text>
        <r>
          <rPr>
            <sz val="9"/>
            <color rgb="FF000000"/>
            <rFont val="Tahoma"/>
            <family val="2"/>
          </rPr>
          <t xml:space="preserve">AA LCA, Electrolysis
</t>
        </r>
      </text>
    </comment>
    <comment ref="I37" authorId="0" shapeId="0" xr:uid="{ED1F01EB-D4BB-40F4-88E1-482765D5AE6F}">
      <text>
        <r>
          <rPr>
            <sz val="9"/>
            <color indexed="81"/>
            <rFont val="Tahoma"/>
            <family val="2"/>
          </rPr>
          <t>Number based on AA LCA P68
271.3 kgCO2e released for 1000 ingot
Also see p125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Sidi Deng</author>
  </authors>
  <commentList>
    <comment ref="E1" authorId="0" shapeId="0" xr:uid="{CAB4F12E-4DFD-4ABA-B645-58EB9D87BC23}">
      <text>
        <r>
          <rPr>
            <sz val="9"/>
            <color indexed="81"/>
            <rFont val="Tahoma"/>
            <family val="2"/>
          </rPr>
          <t>From YX Electricity Trajectories
Reference Case (top)</t>
        </r>
        <r>
          <rPr>
            <sz val="9"/>
            <color indexed="81"/>
            <rFont val="Tahoma"/>
            <family val="2"/>
          </rPr>
          <t xml:space="preserve">
</t>
        </r>
      </text>
    </comment>
    <comment ref="I1" authorId="0" shapeId="0" xr:uid="{95A0DC0B-B723-4D69-B54E-864F1D17B678}">
      <text>
        <r>
          <rPr>
            <b/>
            <sz val="9"/>
            <color indexed="81"/>
            <rFont val="Tahoma"/>
            <family val="2"/>
          </rPr>
          <t>For reference, not being used</t>
        </r>
        <r>
          <rPr>
            <sz val="9"/>
            <color indexed="81"/>
            <rFont val="Tahoma"/>
            <family val="2"/>
          </rPr>
          <t xml:space="preserve">
</t>
        </r>
      </text>
    </comment>
    <comment ref="K1" authorId="0" shapeId="0" xr:uid="{4445E92C-EF09-4F30-B1D3-D501452F4AD2}">
      <text>
        <r>
          <rPr>
            <b/>
            <sz val="9"/>
            <color indexed="81"/>
            <rFont val="Tahoma"/>
            <family val="2"/>
          </rPr>
          <t>From YX Electricity Trajectories
NREL (bottom)</t>
        </r>
        <r>
          <rPr>
            <sz val="9"/>
            <color indexed="81"/>
            <rFont val="Tahoma"/>
            <family val="2"/>
          </rPr>
          <t xml:space="preserve">
</t>
        </r>
      </text>
    </comment>
    <comment ref="O1" authorId="0" shapeId="0" xr:uid="{41C67895-3704-47AF-9DD6-5E91F7B8BAB1}">
      <text>
        <r>
          <rPr>
            <sz val="9"/>
            <color indexed="81"/>
            <rFont val="Tahoma"/>
            <family val="2"/>
          </rPr>
          <t xml:space="preserve">For reference, not used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X1" authorId="0" shapeId="0" xr:uid="{A2767C7A-4A74-9B4A-A510-4106B3082579}">
      <text>
        <r>
          <rPr>
            <b/>
            <sz val="10"/>
            <color rgb="FF000000"/>
            <rFont val="Tahoma"/>
            <family val="2"/>
          </rPr>
          <t>Product fabricated using domestic semi_component</t>
        </r>
        <r>
          <rPr>
            <sz val="10"/>
            <color rgb="FF000000"/>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Allen Deng</author>
  </authors>
  <commentList>
    <comment ref="B2" authorId="0" shapeId="0" xr:uid="{7DDD061A-912A-4E04-B59A-EA5F1EFBF000}">
      <text>
        <r>
          <rPr>
            <sz val="9"/>
            <color indexed="81"/>
            <rFont val="Tahoma"/>
            <family val="2"/>
          </rPr>
          <t xml:space="preserve">Consists of emissions associated with both:
- </t>
        </r>
        <r>
          <rPr>
            <b/>
            <sz val="9"/>
            <color indexed="81"/>
            <rFont val="Tahoma"/>
            <family val="2"/>
          </rPr>
          <t>consuming</t>
        </r>
        <r>
          <rPr>
            <sz val="9"/>
            <color indexed="81"/>
            <rFont val="Tahoma"/>
            <family val="2"/>
          </rPr>
          <t xml:space="preserve"> the energy sources
- </t>
        </r>
        <r>
          <rPr>
            <b/>
            <sz val="9"/>
            <color indexed="81"/>
            <rFont val="Tahoma"/>
            <family val="2"/>
          </rPr>
          <t>producing</t>
        </r>
        <r>
          <rPr>
            <sz val="9"/>
            <color indexed="81"/>
            <rFont val="Tahoma"/>
            <family val="2"/>
          </rPr>
          <t xml:space="preserve"> the energy sources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Allen Deng</author>
  </authors>
  <commentList>
    <comment ref="E1" authorId="0" shapeId="0" xr:uid="{EFAF453C-4EFF-4BCA-8AF0-99EEE27C8B0D}">
      <text>
        <r>
          <rPr>
            <b/>
            <sz val="9"/>
            <color rgb="FF000000"/>
            <rFont val="Tahoma"/>
            <family val="2"/>
          </rPr>
          <t>Cradle to Gate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Microsoft Office User</author>
    <author>Allen Deng</author>
  </authors>
  <commentList>
    <comment ref="AE1" authorId="0" shapeId="0" xr:uid="{59CB69F5-D3D6-EC48-A1DE-212EBC2D4C32}">
      <text>
        <r>
          <rPr>
            <sz val="10"/>
            <color rgb="FF000000"/>
            <rFont val="Tahoma"/>
            <family val="2"/>
          </rPr>
          <t xml:space="preserve">AA raw data (top-left in "downstream") fitted into our model
</t>
        </r>
      </text>
    </comment>
    <comment ref="BC1" authorId="0" shapeId="0" xr:uid="{3DAD1ED4-8F42-5C4A-BDDB-61197C91EF1A}">
      <text>
        <r>
          <rPr>
            <b/>
            <sz val="10"/>
            <color rgb="FF000000"/>
            <rFont val="Tahoma"/>
            <family val="2"/>
          </rPr>
          <t>Compare to AA report p88</t>
        </r>
        <r>
          <rPr>
            <sz val="10"/>
            <color rgb="FF000000"/>
            <rFont val="Tahoma"/>
            <family val="2"/>
          </rPr>
          <t xml:space="preserve">
</t>
        </r>
      </text>
    </comment>
    <comment ref="BT5" authorId="0" shapeId="0" xr:uid="{738BC259-32B3-D844-888B-B7E1F69DC815}">
      <text>
        <r>
          <rPr>
            <sz val="10"/>
            <color rgb="FF000000"/>
            <rFont val="Tahoma"/>
            <family val="2"/>
          </rPr>
          <t>Should be viewed as an dependent/outcome variable</t>
        </r>
      </text>
    </comment>
    <comment ref="BU5" authorId="1" shapeId="0" xr:uid="{E2E406EC-52DF-4211-A7E6-4D17A0C07CA0}">
      <text>
        <r>
          <rPr>
            <sz val="9"/>
            <color indexed="81"/>
            <rFont val="Tahoma"/>
            <family val="2"/>
          </rPr>
          <t>This should be viewed as the optimization output.
I.e., based on the current EoL composition and alloy demand, this is the % of inflow can be fulfilled</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Sidi Deng</author>
  </authors>
  <commentList>
    <comment ref="L1" authorId="0" shapeId="0" xr:uid="{1CFE2CA1-4CAD-4B8E-BF25-3F7385B0A7C9}">
      <text>
        <r>
          <rPr>
            <b/>
            <sz val="9"/>
            <color indexed="81"/>
            <rFont val="Tahoma"/>
            <family val="2"/>
          </rPr>
          <t>At year beginning</t>
        </r>
        <r>
          <rPr>
            <sz val="9"/>
            <color indexed="81"/>
            <rFont val="Tahoma"/>
            <family val="2"/>
          </rPr>
          <t xml:space="preserve">
Copy the new_post_0 column from system_track here.</t>
        </r>
      </text>
    </comment>
    <comment ref="M1" authorId="0" shapeId="0" xr:uid="{8017B7AE-3463-4112-8EA4-191E302F1682}">
      <text>
        <r>
          <rPr>
            <b/>
            <sz val="9"/>
            <color indexed="81"/>
            <rFont val="Tahoma"/>
            <family val="2"/>
          </rPr>
          <t>At year beginning</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Allen Deng</author>
  </authors>
  <commentList>
    <comment ref="B7" authorId="0" shapeId="0" xr:uid="{94591A4D-325F-4BDA-B249-71BD2CAC42D5}">
      <text>
        <r>
          <rPr>
            <b/>
            <sz val="9"/>
            <color indexed="81"/>
            <rFont val="Tahoma"/>
            <family val="2"/>
          </rPr>
          <t>From Alissa's optimization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<sst xmlns="http://schemas.openxmlformats.org/spreadsheetml/2006/main" count="1802" uniqueCount="660">
  <si>
    <t>M</t>
  </si>
  <si>
    <t>EoL</t>
  </si>
  <si>
    <t>E</t>
  </si>
  <si>
    <t>R1</t>
  </si>
  <si>
    <t>R2</t>
  </si>
  <si>
    <t>C1</t>
  </si>
  <si>
    <t>C2</t>
  </si>
  <si>
    <t>F1</t>
  </si>
  <si>
    <t>F2</t>
  </si>
  <si>
    <t>F3</t>
  </si>
  <si>
    <t>SC1</t>
  </si>
  <si>
    <t>SC2</t>
  </si>
  <si>
    <t>SC3</t>
  </si>
  <si>
    <t>P1</t>
  </si>
  <si>
    <t>P2</t>
  </si>
  <si>
    <t>P3</t>
  </si>
  <si>
    <t>P4</t>
  </si>
  <si>
    <t>P5</t>
  </si>
  <si>
    <t>P6</t>
  </si>
  <si>
    <t>P7</t>
  </si>
  <si>
    <t>P8</t>
  </si>
  <si>
    <t>Use</t>
  </si>
  <si>
    <t>Verification</t>
  </si>
  <si>
    <t>A Matrix</t>
  </si>
  <si>
    <t>Flow Matrix</t>
  </si>
  <si>
    <t>Waste</t>
  </si>
  <si>
    <t>Sink</t>
  </si>
  <si>
    <t>Label</t>
  </si>
  <si>
    <t>Process</t>
  </si>
  <si>
    <t>Stage</t>
  </si>
  <si>
    <t>Electrolysis</t>
  </si>
  <si>
    <t>Rolling</t>
  </si>
  <si>
    <t>Extrusion</t>
  </si>
  <si>
    <t>Drawing</t>
  </si>
  <si>
    <t>Sand_casting</t>
  </si>
  <si>
    <t>Permanent_mold_casting</t>
  </si>
  <si>
    <t>Die_casting</t>
  </si>
  <si>
    <t>Construction</t>
  </si>
  <si>
    <t>Transportation_auto</t>
  </si>
  <si>
    <t>Transportation_other</t>
  </si>
  <si>
    <t>Durables</t>
  </si>
  <si>
    <t>Electrical</t>
  </si>
  <si>
    <t>Machinery</t>
  </si>
  <si>
    <t>Container</t>
  </si>
  <si>
    <t>Other</t>
  </si>
  <si>
    <t>Source</t>
  </si>
  <si>
    <t>Processing</t>
  </si>
  <si>
    <t>Casting</t>
  </si>
  <si>
    <t>Forming</t>
  </si>
  <si>
    <t>Fabrication</t>
  </si>
  <si>
    <t>W</t>
  </si>
  <si>
    <t>Alumina</t>
  </si>
  <si>
    <t>Scrap</t>
  </si>
  <si>
    <t>Output</t>
  </si>
  <si>
    <t>Cast_ingot</t>
  </si>
  <si>
    <t>Wrought_ingot</t>
  </si>
  <si>
    <t>Sheet</t>
  </si>
  <si>
    <t>Extrusions</t>
  </si>
  <si>
    <t>Cable</t>
  </si>
  <si>
    <t>Castings</t>
  </si>
  <si>
    <t>Products</t>
  </si>
  <si>
    <t>Value</t>
  </si>
  <si>
    <t>Target</t>
  </si>
  <si>
    <t>idx</t>
  </si>
  <si>
    <t>category</t>
  </si>
  <si>
    <t>collect_rate</t>
  </si>
  <si>
    <t>recyclable</t>
  </si>
  <si>
    <t>recyc_rate</t>
  </si>
  <si>
    <t>life</t>
  </si>
  <si>
    <t>std</t>
  </si>
  <si>
    <t>Aluminum_secondary</t>
  </si>
  <si>
    <t>Aluminum_primary</t>
  </si>
  <si>
    <t>Flows</t>
  </si>
  <si>
    <t>Efficiency</t>
  </si>
  <si>
    <t>Total outflow</t>
  </si>
  <si>
    <t>Semi</t>
  </si>
  <si>
    <t>R1_ratio</t>
  </si>
  <si>
    <t>Export</t>
  </si>
  <si>
    <t>F4</t>
  </si>
  <si>
    <t>Forging</t>
  </si>
  <si>
    <t>M lb</t>
  </si>
  <si>
    <t>CF_Import</t>
  </si>
  <si>
    <t>CF_ctg</t>
  </si>
  <si>
    <t>Domestic Production</t>
  </si>
  <si>
    <t>Export_ratio</t>
  </si>
  <si>
    <t>R2_ratio</t>
  </si>
  <si>
    <t>Forming_Scrap_dom_rate</t>
  </si>
  <si>
    <t>Product_scrap_dom_rate</t>
  </si>
  <si>
    <t>Adjust_factor</t>
  </si>
  <si>
    <t>Offset</t>
  </si>
  <si>
    <t>import_amt</t>
  </si>
  <si>
    <t>import</t>
  </si>
  <si>
    <t>export</t>
  </si>
  <si>
    <t>dom_fabricated</t>
  </si>
  <si>
    <t>efficiency</t>
  </si>
  <si>
    <t>semi_import</t>
  </si>
  <si>
    <t>Internal scrap</t>
  </si>
  <si>
    <t>Inflow (kg)</t>
  </si>
  <si>
    <t>sum (lb)</t>
  </si>
  <si>
    <t>dom_to_dom_semi</t>
  </si>
  <si>
    <t>semi_produced</t>
  </si>
  <si>
    <t>semi_export</t>
  </si>
  <si>
    <t>semi_consumed</t>
  </si>
  <si>
    <t>EoL scrap export</t>
  </si>
  <si>
    <t>Metal</t>
  </si>
  <si>
    <t>metal import</t>
  </si>
  <si>
    <t>inflow</t>
  </si>
  <si>
    <t>index</t>
  </si>
  <si>
    <t>note</t>
  </si>
  <si>
    <t>amount</t>
  </si>
  <si>
    <t>EoL scrap</t>
  </si>
  <si>
    <t>Display</t>
  </si>
  <si>
    <t>Loss</t>
  </si>
  <si>
    <t>Cable/Wire</t>
  </si>
  <si>
    <t>Sand Castings</t>
  </si>
  <si>
    <t>Permanent Mold Castings</t>
  </si>
  <si>
    <t>Die Castings</t>
  </si>
  <si>
    <t>Transportation (Auto)</t>
  </si>
  <si>
    <t>Transportation (Other)</t>
  </si>
  <si>
    <t>Domestic Consumption</t>
  </si>
  <si>
    <t>Containers</t>
  </si>
  <si>
    <t>ele_ratio</t>
  </si>
  <si>
    <t>CO2_per_MJ</t>
  </si>
  <si>
    <t>MJ_per_kg</t>
  </si>
  <si>
    <t>Carbon intensity (kgCO2eq/MJ-delivered)</t>
  </si>
  <si>
    <t>E-C1</t>
  </si>
  <si>
    <t>Primary production</t>
  </si>
  <si>
    <t>M-E</t>
  </si>
  <si>
    <t>E-R1</t>
  </si>
  <si>
    <t>E-R2</t>
  </si>
  <si>
    <t>Inflow</t>
  </si>
  <si>
    <t>outflow</t>
  </si>
  <si>
    <t>loss</t>
  </si>
  <si>
    <t>B</t>
  </si>
  <si>
    <t>Import</t>
  </si>
  <si>
    <t>Outflow</t>
  </si>
  <si>
    <t>Verify</t>
  </si>
  <si>
    <t>Produced</t>
  </si>
  <si>
    <t>Consumed</t>
  </si>
  <si>
    <t>Verify Consumed</t>
  </si>
  <si>
    <t>Crude import</t>
  </si>
  <si>
    <t>Forgings and Powder</t>
  </si>
  <si>
    <t>Remelting</t>
  </si>
  <si>
    <t>Refining</t>
  </si>
  <si>
    <t>Wrought Ingot Casting</t>
  </si>
  <si>
    <t>Foundry Ingot Casting</t>
  </si>
  <si>
    <t>Wire Drawing</t>
  </si>
  <si>
    <t>Forging and Powdering</t>
  </si>
  <si>
    <t>Sand Casting</t>
  </si>
  <si>
    <t>Die Casting</t>
  </si>
  <si>
    <t>In-Use Stock</t>
  </si>
  <si>
    <t>Other Products</t>
  </si>
  <si>
    <t>Sheet and Foil</t>
  </si>
  <si>
    <t>Total</t>
  </si>
  <si>
    <t>Trans. Auto</t>
  </si>
  <si>
    <t>Trans. Other</t>
  </si>
  <si>
    <t>Perm. Mold Castings</t>
  </si>
  <si>
    <t>Table 4</t>
  </si>
  <si>
    <t>Scrap/Loss</t>
  </si>
  <si>
    <t>Index</t>
  </si>
  <si>
    <t>Ingots Consumed</t>
  </si>
  <si>
    <t>sum(kg)</t>
  </si>
  <si>
    <t>Received</t>
  </si>
  <si>
    <t>US semi received</t>
  </si>
  <si>
    <t>US semi import</t>
  </si>
  <si>
    <t>domestic ratio</t>
  </si>
  <si>
    <t>US semi produced</t>
  </si>
  <si>
    <t>Alloy import</t>
  </si>
  <si>
    <t>dom-to-dom</t>
  </si>
  <si>
    <t>Rolling (F1)</t>
  </si>
  <si>
    <t>Extrusion (F2)</t>
  </si>
  <si>
    <t>Wire Drawing (F3)</t>
  </si>
  <si>
    <t>Forging and Powdering (F4)</t>
  </si>
  <si>
    <t>foundry alloy ingots to</t>
  </si>
  <si>
    <t>Die casting (SC1)</t>
  </si>
  <si>
    <t>Perm. Mold Castings (SC2)</t>
  </si>
  <si>
    <t>Sand Castings (SC3)</t>
  </si>
  <si>
    <t>Direct Primary%</t>
  </si>
  <si>
    <t>Automatically calculated</t>
  </si>
  <si>
    <t>Direct  inputs or calculations</t>
  </si>
  <si>
    <t>Sweetener</t>
  </si>
  <si>
    <t>Dom Alloy%</t>
  </si>
  <si>
    <t>valuable outflow</t>
  </si>
  <si>
    <t>pre-consumer scrap</t>
  </si>
  <si>
    <t>post-consumer-scrap</t>
  </si>
  <si>
    <t>dom sweetener</t>
  </si>
  <si>
    <t>dom inflow</t>
  </si>
  <si>
    <t>total outflow</t>
  </si>
  <si>
    <t>total inflow or outflow</t>
  </si>
  <si>
    <t>Al in Alumina</t>
  </si>
  <si>
    <t>Al in Al2O3</t>
  </si>
  <si>
    <t>EoL domestically collected</t>
  </si>
  <si>
    <t>Domestic EoL recycled</t>
  </si>
  <si>
    <t>Domestically mined</t>
  </si>
  <si>
    <t>Dom Alloy %</t>
  </si>
  <si>
    <t>dom alumina (M-E)</t>
  </si>
  <si>
    <t>Referenced from other sheets</t>
  </si>
  <si>
    <t>Based on USGS</t>
  </si>
  <si>
    <t>Based on AA and UN Comtrade</t>
  </si>
  <si>
    <t>Wrought Alloys</t>
  </si>
  <si>
    <t>Foundry Alloys</t>
  </si>
  <si>
    <t>Sheets and Foils</t>
  </si>
  <si>
    <t>Cables/Wires</t>
  </si>
  <si>
    <t>Al in Bauxite</t>
  </si>
  <si>
    <t>Alloy import required</t>
  </si>
  <si>
    <t>Dom-to-dom alloys</t>
  </si>
  <si>
    <t>Available primary</t>
  </si>
  <si>
    <t>Current</t>
  </si>
  <si>
    <t>Benchmark</t>
  </si>
  <si>
    <t>Sweetener required</t>
  </si>
  <si>
    <t>Metal import required</t>
  </si>
  <si>
    <t>Crude import required</t>
  </si>
  <si>
    <t>Secondary</t>
  </si>
  <si>
    <t>dom-to-dom alloy %</t>
  </si>
  <si>
    <t>dom-to-dom direct primary</t>
  </si>
  <si>
    <t>Bayer (M)</t>
  </si>
  <si>
    <t>Oxide for Al industry</t>
  </si>
  <si>
    <t>M Trade</t>
  </si>
  <si>
    <t>semi produced</t>
  </si>
  <si>
    <t>Direct Primary/kg-ingot</t>
  </si>
  <si>
    <t>Sweetener/Secondary ingot</t>
  </si>
  <si>
    <t>Upperbound</t>
  </si>
  <si>
    <t>Lowerbound</t>
  </si>
  <si>
    <t>direct primary/ingot inflow</t>
  </si>
  <si>
    <t>Alloy consumed</t>
  </si>
  <si>
    <t>ingot consumed</t>
  </si>
  <si>
    <t>dom_consumed</t>
  </si>
  <si>
    <t>dom-R1</t>
  </si>
  <si>
    <t>dom-R2</t>
  </si>
  <si>
    <t>import-R1</t>
  </si>
  <si>
    <t>import-R2</t>
  </si>
  <si>
    <t>kg sweet/kg-in</t>
  </si>
  <si>
    <t>kg sweet/kg-out</t>
  </si>
  <si>
    <t>CF Ref</t>
  </si>
  <si>
    <t>kg CO2e/kg-in</t>
  </si>
  <si>
    <t>kg CO2e/kg-out</t>
  </si>
  <si>
    <t>CF (kgCO2/kg-in)</t>
  </si>
  <si>
    <t>NG</t>
  </si>
  <si>
    <t>NG_ratio</t>
  </si>
  <si>
    <t>clean_grid_ratio</t>
  </si>
  <si>
    <t>kgCO2_per_MJ_NG</t>
  </si>
  <si>
    <t>var</t>
  </si>
  <si>
    <t>value</t>
  </si>
  <si>
    <t>kgCO2_per_MJ_H2_blue</t>
  </si>
  <si>
    <t>price_H2_blue</t>
  </si>
  <si>
    <t>price_H2_blue_PTC</t>
  </si>
  <si>
    <t>price_H2_green</t>
  </si>
  <si>
    <t>kgCO2_per_MJ_H2_green</t>
  </si>
  <si>
    <t>price_H2_green_PTC</t>
  </si>
  <si>
    <t>price_NG</t>
  </si>
  <si>
    <t>price_ele_dirty</t>
  </si>
  <si>
    <t>price_ele_clean</t>
  </si>
  <si>
    <t>kgCO2_per_MJ_ele_dirty</t>
  </si>
  <si>
    <t>kgCO2_per_MJ_ele_clean</t>
  </si>
  <si>
    <t>unit</t>
  </si>
  <si>
    <t>kgCO2/MJ-Del</t>
  </si>
  <si>
    <t>$/MJ-Del</t>
  </si>
  <si>
    <t>waste_per_value</t>
  </si>
  <si>
    <t>kgCO2/kg-in</t>
  </si>
  <si>
    <t>Available</t>
  </si>
  <si>
    <t>Collected</t>
  </si>
  <si>
    <t>collected</t>
  </si>
  <si>
    <t>R1 (Refiner)</t>
  </si>
  <si>
    <t>Produce secondary wrought alloys</t>
  </si>
  <si>
    <t>R2 (Remelter)</t>
  </si>
  <si>
    <t>Produce secondary foundry alloys</t>
  </si>
  <si>
    <t>actual scrap inflow</t>
  </si>
  <si>
    <t>sweetener</t>
  </si>
  <si>
    <r>
      <t xml:space="preserve">Actual </t>
    </r>
    <r>
      <rPr>
        <b/>
        <sz val="12"/>
        <color theme="1"/>
        <rFont val="Calibri"/>
        <family val="2"/>
        <scheme val="minor"/>
      </rPr>
      <t>kg scrap/kg-in</t>
    </r>
  </si>
  <si>
    <r>
      <t xml:space="preserve">Min </t>
    </r>
    <r>
      <rPr>
        <b/>
        <sz val="12"/>
        <color theme="1"/>
        <rFont val="Calibri"/>
        <family val="2"/>
        <scheme val="minor"/>
      </rPr>
      <t>kg scrap/kg-ingot-out</t>
    </r>
  </si>
  <si>
    <t>Alloy</t>
  </si>
  <si>
    <t>Alloy ingot</t>
  </si>
  <si>
    <t>Data for benchmarking</t>
  </si>
  <si>
    <t>produced</t>
  </si>
  <si>
    <t>consumed</t>
  </si>
  <si>
    <t>Data referenced</t>
  </si>
  <si>
    <t>Key data</t>
  </si>
  <si>
    <t>NA</t>
  </si>
  <si>
    <t>Foil</t>
  </si>
  <si>
    <t>Shape Castings</t>
  </si>
  <si>
    <t>Forgings</t>
  </si>
  <si>
    <t>Powders</t>
  </si>
  <si>
    <t>Product fabricated</t>
  </si>
  <si>
    <t>Yield efficiencies</t>
  </si>
  <si>
    <t>US &amp; Canada Received (lbs)</t>
  </si>
  <si>
    <t>US Received (kg)</t>
  </si>
  <si>
    <t>Adjustment factor</t>
  </si>
  <si>
    <t>semi_inflow</t>
  </si>
  <si>
    <t>semi_DtD</t>
  </si>
  <si>
    <t>Copy and Paste Guide</t>
  </si>
  <si>
    <t>In MS Word: Set [Default Paste] - [Pasting from other programs] - [Merge Formatting]</t>
  </si>
  <si>
    <t>(1) First time: paste through [Use Destination Styles], then manually adjust format</t>
  </si>
  <si>
    <t>(2) To overwrite, simply [Ctrl] + [V] the numbers within borders (make sure these numbers' format is consistent with the table in Word)</t>
  </si>
  <si>
    <t>Semi received</t>
  </si>
  <si>
    <t>Domestic production</t>
  </si>
  <si>
    <t>Domestic consumption</t>
  </si>
  <si>
    <t>Dom-to-Dom</t>
  </si>
  <si>
    <t>wrough alloy ingots to</t>
  </si>
  <si>
    <t>Alloy produced</t>
  </si>
  <si>
    <t>Alloy Consumption</t>
  </si>
  <si>
    <t>Alloy Production</t>
  </si>
  <si>
    <t>Amount (kt)</t>
  </si>
  <si>
    <t>Fraction</t>
  </si>
  <si>
    <t>Bayer outflows</t>
  </si>
  <si>
    <t>Permanent Mold Casting</t>
  </si>
  <si>
    <t>Perm. Mold Casting</t>
  </si>
  <si>
    <t>Feedstock</t>
  </si>
  <si>
    <t>if x1 is fixed, increasing x2 will result in lower sweetener</t>
  </si>
  <si>
    <t>Reduced compositional mismatch will yield a higher x2 through optimization</t>
  </si>
  <si>
    <t>R1_scrap_ratio</t>
  </si>
  <si>
    <t>R2_scrap_ratio</t>
  </si>
  <si>
    <t>R1_EoL_scrap_ratio</t>
  </si>
  <si>
    <t>R2_EoL_scrap_ratio</t>
  </si>
  <si>
    <t>External Scrap</t>
  </si>
  <si>
    <t>R1_presorted_scrap_ratio</t>
  </si>
  <si>
    <t>R2_presorted_scrap_ratio</t>
  </si>
  <si>
    <t>high quality: preconsumer + import</t>
  </si>
  <si>
    <t>import scrap</t>
  </si>
  <si>
    <t>presorted scrap</t>
  </si>
  <si>
    <t>R1 target</t>
  </si>
  <si>
    <t>R2 target</t>
  </si>
  <si>
    <t>R1.EoL_scrap rate</t>
  </si>
  <si>
    <t>R2.EoL_scrap_rate</t>
  </si>
  <si>
    <t>Inflow target</t>
  </si>
  <si>
    <t>inflow target</t>
  </si>
  <si>
    <t>External-R1</t>
  </si>
  <si>
    <t>External-R2</t>
  </si>
  <si>
    <t>Upcycling rate</t>
  </si>
  <si>
    <t>Secondary production</t>
  </si>
  <si>
    <t>kgCO2e/kg-out</t>
  </si>
  <si>
    <t>Ingot cast House (AA report, p104)</t>
  </si>
  <si>
    <t>Scrap processing, melting, and casting, dross recycling (AA report p110)</t>
  </si>
  <si>
    <t>Total kgCO2e/kg-ingot</t>
  </si>
  <si>
    <t>Recasting kgCO2e/kg-ingot</t>
  </si>
  <si>
    <t>Remelting/Refining CF</t>
  </si>
  <si>
    <t>CF_process</t>
  </si>
  <si>
    <t>PFC_CF_process</t>
  </si>
  <si>
    <t>CO2_CF_process</t>
  </si>
  <si>
    <t>CF_energy</t>
  </si>
  <si>
    <t>This section is for estimating fabricating yield efficiencies, not for presenting product fabrication (refer to "Display")</t>
  </si>
  <si>
    <t>Domestic Semi Consumed</t>
  </si>
  <si>
    <t>Domestic Product Fabricated</t>
  </si>
  <si>
    <t>Aggregate Yield Efficiencies</t>
  </si>
  <si>
    <t>Aggregate</t>
  </si>
  <si>
    <t>Aggregate yield%</t>
  </si>
  <si>
    <t>Total Outflow</t>
  </si>
  <si>
    <t>Wrought Alloy Production</t>
  </si>
  <si>
    <t>Foundry Alloy Production</t>
  </si>
  <si>
    <t>Deformation Total</t>
  </si>
  <si>
    <t>Shape Casting Total</t>
  </si>
  <si>
    <t>S</t>
  </si>
  <si>
    <t>Bayer Process</t>
  </si>
  <si>
    <t>Primary Metal</t>
  </si>
  <si>
    <t>Forgings and Powders</t>
  </si>
  <si>
    <t>Sheets</t>
  </si>
  <si>
    <t>Cables</t>
  </si>
  <si>
    <t>Bauxite</t>
  </si>
  <si>
    <t>Input</t>
  </si>
  <si>
    <t>Domestic %</t>
  </si>
  <si>
    <t>Import %</t>
  </si>
  <si>
    <t>Export %</t>
  </si>
  <si>
    <t>Alloy Supply Profile</t>
  </si>
  <si>
    <t>C1 Supply Profile</t>
  </si>
  <si>
    <t>C2 Supply Profile</t>
  </si>
  <si>
    <t>export/production</t>
  </si>
  <si>
    <t>kg sweetener/kg-ingot</t>
  </si>
  <si>
    <t>Alloy Input Sources</t>
  </si>
  <si>
    <t xml:space="preserve">Alloy Output Targets </t>
  </si>
  <si>
    <t>η</t>
  </si>
  <si>
    <t>Scrap Recycled</t>
  </si>
  <si>
    <t>Scrap Generated</t>
  </si>
  <si>
    <t>Forming Sector</t>
  </si>
  <si>
    <t>Scrap Outflow</t>
  </si>
  <si>
    <t>Semi Produced</t>
  </si>
  <si>
    <t>Should be fine-tuned to 95%</t>
  </si>
  <si>
    <t>Dom virgin metal %</t>
  </si>
  <si>
    <t>Imported virgin metal</t>
  </si>
  <si>
    <t>Dom virgin metal</t>
  </si>
  <si>
    <t>E-C2</t>
  </si>
  <si>
    <t>Remelted Metal</t>
  </si>
  <si>
    <t>Primary</t>
  </si>
  <si>
    <t>Recycled  Metal</t>
  </si>
  <si>
    <t>Total Primary</t>
  </si>
  <si>
    <t>Virgin</t>
  </si>
  <si>
    <t>R2 Efficiency</t>
  </si>
  <si>
    <t>R1 Efficiency</t>
  </si>
  <si>
    <t>Adjust X1 to make align import scrap, export scrap, and scrap recycling rate with reference</t>
  </si>
  <si>
    <t>x1 boundaries</t>
  </si>
  <si>
    <t>Fabricating Scrap Generated</t>
  </si>
  <si>
    <t>Alloy Category</t>
  </si>
  <si>
    <t>Metal Consumed</t>
  </si>
  <si>
    <t xml:space="preserve">Virgin </t>
  </si>
  <si>
    <t>Recycled</t>
  </si>
  <si>
    <t>Subsector</t>
  </si>
  <si>
    <t>Consumption</t>
  </si>
  <si>
    <t>Forming Scrap No downgrade rate</t>
  </si>
  <si>
    <t>Fabrication Scrap No downgrade rate</t>
  </si>
  <si>
    <t>Remelted (R1-C1)</t>
  </si>
  <si>
    <t>Recycled (R2-C2)</t>
  </si>
  <si>
    <t>kg sweet/kg remelted metal</t>
  </si>
  <si>
    <t>kg sweet/kg recycled metal</t>
  </si>
  <si>
    <t>Sweetener (R1)</t>
  </si>
  <si>
    <t>Sweetener (R2)</t>
  </si>
  <si>
    <t>total</t>
  </si>
  <si>
    <t>Metallurgical Bauxite inflow</t>
  </si>
  <si>
    <r>
      <t>Metallurgical</t>
    </r>
    <r>
      <rPr>
        <b/>
        <sz val="12"/>
        <color theme="1"/>
        <rFont val="Calibri"/>
        <family val="2"/>
        <scheme val="minor"/>
      </rPr>
      <t xml:space="preserve"> </t>
    </r>
    <r>
      <rPr>
        <sz val="12"/>
        <color theme="1"/>
        <rFont val="Calibri"/>
        <family val="2"/>
        <scheme val="minor"/>
      </rPr>
      <t>bauxite Import</t>
    </r>
  </si>
  <si>
    <t>Metallurical alumina import</t>
  </si>
  <si>
    <t>Electrolysis Outflows</t>
  </si>
  <si>
    <t>Virgin (C1)</t>
  </si>
  <si>
    <t>Virgin (C2)</t>
  </si>
  <si>
    <t>Category</t>
  </si>
  <si>
    <t>Total Alumina</t>
  </si>
  <si>
    <t xml:space="preserve"> in aluminum content</t>
  </si>
  <si>
    <t>[B, E]</t>
  </si>
  <si>
    <t>Collection Rate</t>
  </si>
  <si>
    <t>Available (kt)</t>
  </si>
  <si>
    <t>Collected (kt)</t>
  </si>
  <si>
    <t>pre-consumer scrap import</t>
  </si>
  <si>
    <t>Export/Collected</t>
  </si>
  <si>
    <t>Recycled/Collected</t>
  </si>
  <si>
    <t>presorted_scrap_ratio (u)</t>
  </si>
  <si>
    <t>EoL_scrap_ratio (v)</t>
  </si>
  <si>
    <t>sweetener_ratio (w)</t>
  </si>
  <si>
    <t>u</t>
  </si>
  <si>
    <t>v</t>
  </si>
  <si>
    <t>w</t>
  </si>
  <si>
    <t>Weight Ratio</t>
  </si>
  <si>
    <t>Domestic Pre-consumer</t>
  </si>
  <si>
    <t>Imported Pre-consumer</t>
  </si>
  <si>
    <t>Final</t>
  </si>
  <si>
    <t>Renewable electricity %</t>
  </si>
  <si>
    <t>Non-Renewable Electricity</t>
  </si>
  <si>
    <t>Renewable Electricity</t>
  </si>
  <si>
    <t>rho_E</t>
  </si>
  <si>
    <t>epsilon_E</t>
  </si>
  <si>
    <t>2023 Grid Electricity</t>
  </si>
  <si>
    <t>omega_E^p</t>
  </si>
  <si>
    <t>Non-renewable electricity %</t>
  </si>
  <si>
    <t>C_E^Process</t>
  </si>
  <si>
    <t>MJ-del/kg-in</t>
  </si>
  <si>
    <t>kg CO2/MJ-del</t>
  </si>
  <si>
    <t>Energy Intensity</t>
  </si>
  <si>
    <t>Carbon per MJ-del</t>
  </si>
  <si>
    <t>Process Emission Intensity</t>
  </si>
  <si>
    <t>C_E</t>
  </si>
  <si>
    <t xml:space="preserve">  kg CO2e/kg-in</t>
  </si>
  <si>
    <t xml:space="preserve"> kg CO2e/kg-in</t>
  </si>
  <si>
    <t>Anode Emission</t>
  </si>
  <si>
    <t>PFC Emission</t>
  </si>
  <si>
    <t>Yield Efficiency</t>
  </si>
  <si>
    <t>MJ-ele/MJ-del</t>
  </si>
  <si>
    <t>Energy intensity</t>
  </si>
  <si>
    <t>Carbon intensity</t>
  </si>
  <si>
    <t>CF_CA</t>
  </si>
  <si>
    <t>dom_to_dom</t>
  </si>
  <si>
    <t>lambda</t>
  </si>
  <si>
    <t>Average growth rate</t>
  </si>
  <si>
    <t>Year</t>
  </si>
  <si>
    <t>lambda_rate</t>
  </si>
  <si>
    <t>Average age</t>
  </si>
  <si>
    <t>new_post_0</t>
  </si>
  <si>
    <t>old_post_0</t>
  </si>
  <si>
    <t>Growth/year</t>
  </si>
  <si>
    <t>clean</t>
  </si>
  <si>
    <t>Figure from YX</t>
  </si>
  <si>
    <t>Electricity (current) - verify</t>
  </si>
  <si>
    <t>Electricity (non-renewable)</t>
  </si>
  <si>
    <t>Electricity (nuclear)</t>
  </si>
  <si>
    <t>Electricity (renewable)</t>
  </si>
  <si>
    <t>Electricity (current)</t>
  </si>
  <si>
    <t>Coal</t>
  </si>
  <si>
    <t>Natural gas</t>
  </si>
  <si>
    <t>Hydrogen (nuclear)w/ PTC</t>
  </si>
  <si>
    <t>Hydrogen (nuclear)</t>
  </si>
  <si>
    <t>Hydrogen (renewable electricity)w/ PTC</t>
  </si>
  <si>
    <t>Hydrogen (renewable electricity)</t>
  </si>
  <si>
    <t>Hydrogen (current electricity)</t>
  </si>
  <si>
    <t>Hydrogen (SMR w/ CCS) w/ PTC</t>
  </si>
  <si>
    <t>Hydrogen (SMR w/ CCS)</t>
  </si>
  <si>
    <t>Hydrogen (SMR)</t>
  </si>
  <si>
    <t>total cost</t>
  </si>
  <si>
    <t>cents/MJdelivered</t>
  </si>
  <si>
    <t>gCO2eq/MJdelivered</t>
  </si>
  <si>
    <t>Cost of energy production</t>
  </si>
  <si>
    <t>Transportation</t>
  </si>
  <si>
    <t>GHG</t>
  </si>
  <si>
    <t>dirty</t>
  </si>
  <si>
    <t>2023 NG/dirty</t>
  </si>
  <si>
    <t>Electricity coal</t>
  </si>
  <si>
    <t>Electricity NG</t>
  </si>
  <si>
    <t>CF Coal/NG</t>
  </si>
  <si>
    <t>Biomass</t>
  </si>
  <si>
    <t>2023 non-NG/dirty</t>
  </si>
  <si>
    <t>year</t>
  </si>
  <si>
    <t>CF_dirty</t>
  </si>
  <si>
    <t>gCO2_per_MJ_ele</t>
  </si>
  <si>
    <t>NREL</t>
  </si>
  <si>
    <t>Reference</t>
  </si>
  <si>
    <t>Paste Special</t>
  </si>
  <si>
    <t>value + transpose</t>
  </si>
  <si>
    <t>color</t>
  </si>
  <si>
    <t>slateblue</t>
  </si>
  <si>
    <t>blue</t>
  </si>
  <si>
    <t>navy</t>
  </si>
  <si>
    <t>blueviolet</t>
  </si>
  <si>
    <t>royalblue</t>
  </si>
  <si>
    <t>steelblue</t>
  </si>
  <si>
    <t>skyblue</t>
  </si>
  <si>
    <t>slategrey</t>
  </si>
  <si>
    <t>Consumption 2020</t>
  </si>
  <si>
    <t>Growth rate (kt)</t>
  </si>
  <si>
    <t>Lambda %</t>
  </si>
  <si>
    <t>Virgin Metal import</t>
  </si>
  <si>
    <t>Virgin Metal Consumption</t>
  </si>
  <si>
    <t>Shape Castings (kt)</t>
  </si>
  <si>
    <t>Die Casting (%)</t>
  </si>
  <si>
    <t>Perm. Mold Castings (%)</t>
  </si>
  <si>
    <t>Sand Castings (%)</t>
  </si>
  <si>
    <t>Const.</t>
  </si>
  <si>
    <t>Casting Virgin (E - C2)</t>
  </si>
  <si>
    <t>Casting Virgin (E - C1)</t>
  </si>
  <si>
    <t>Casting virgin Consumption</t>
  </si>
  <si>
    <t>Sweetener Consumption</t>
  </si>
  <si>
    <t>Dom. Casting Virgin</t>
  </si>
  <si>
    <t>Dom. Sweetener</t>
  </si>
  <si>
    <t>Import Casting Virgin</t>
  </si>
  <si>
    <t>Import Sweetener</t>
  </si>
  <si>
    <t>Table S5: Shape Casting Breakdown</t>
  </si>
  <si>
    <t>Default</t>
  </si>
  <si>
    <t>They will influence</t>
  </si>
  <si>
    <t>upstream C2: consumption pattern of foundry alloys</t>
  </si>
  <si>
    <t>downstream: inflow profile (%) of fabricating sectors</t>
  </si>
  <si>
    <t>Table S8: Semi-Composition</t>
  </si>
  <si>
    <t>Table S9: Yield efficiencies of Fabrication</t>
  </si>
  <si>
    <t>Table S11 Scrap originated from</t>
  </si>
  <si>
    <t>Table S16</t>
  </si>
  <si>
    <t>Shape Casting Scrap Flows</t>
  </si>
  <si>
    <t>Table S17</t>
  </si>
  <si>
    <t>Table S18</t>
  </si>
  <si>
    <t>Table S19</t>
  </si>
  <si>
    <t>Table S20</t>
  </si>
  <si>
    <t>Table S21</t>
  </si>
  <si>
    <t>Table S22</t>
  </si>
  <si>
    <t>Table S23</t>
  </si>
  <si>
    <t>Total Casting Virgin</t>
  </si>
  <si>
    <t>Total Sweetener</t>
  </si>
  <si>
    <t>Doomestic production</t>
  </si>
  <si>
    <t>Upper Bound</t>
  </si>
  <si>
    <t>Domestic Sweetener [E, R1] + [E, R2]</t>
  </si>
  <si>
    <t>Domestic casting virign %</t>
  </si>
  <si>
    <t>Domestic casting virgin [E, C1] + [E, C2]</t>
  </si>
  <si>
    <t>Primary Consumption Calculation</t>
  </si>
  <si>
    <t>Table S27</t>
  </si>
  <si>
    <t>Remelter Inflows</t>
  </si>
  <si>
    <t>Refiner Inflows</t>
  </si>
  <si>
    <t>Pre-consumer (u)</t>
  </si>
  <si>
    <t>Post-consumer (v)</t>
  </si>
  <si>
    <t>Sweetener (w)</t>
  </si>
  <si>
    <t>Demand Assumptions</t>
  </si>
  <si>
    <t>Table S25</t>
  </si>
  <si>
    <t>Post-Consumer Scrap in 2020</t>
  </si>
  <si>
    <t>Cradle-to-Gate</t>
  </si>
  <si>
    <t>Imported Casting Virgin</t>
  </si>
  <si>
    <t>Dom. Casting Virgin [E, C1]</t>
  </si>
  <si>
    <t>Dom. Casting Virgin [E, C2]</t>
  </si>
  <si>
    <t>Imported Alumina</t>
  </si>
  <si>
    <t>Imported Bauxite</t>
  </si>
  <si>
    <t>M.CO2_ctg</t>
  </si>
  <si>
    <t>Imported Sweetener</t>
  </si>
  <si>
    <t>Dom. Sweetener [E, R1]</t>
  </si>
  <si>
    <t>Dom. Alumina [B,E]</t>
  </si>
  <si>
    <t>Value Outflow</t>
  </si>
  <si>
    <t>kg-in/kg-out</t>
  </si>
  <si>
    <t>Throughput</t>
  </si>
  <si>
    <t>Mass (kt)</t>
  </si>
  <si>
    <t>Material</t>
  </si>
  <si>
    <t>E.CO2_ctg</t>
  </si>
  <si>
    <t>External Scrap [S, R1]</t>
  </si>
  <si>
    <t>Dom. Pre-consumer</t>
  </si>
  <si>
    <t>R1.CO2_ctg</t>
  </si>
  <si>
    <t>R2.CO2_ctg</t>
  </si>
  <si>
    <t>External Scrap [S, R2]</t>
  </si>
  <si>
    <t>Dom. Sweetener [E, R2]</t>
  </si>
  <si>
    <t>Dom. Remelted Metal [R1, C1]</t>
  </si>
  <si>
    <t>C1.CO2_ctg</t>
  </si>
  <si>
    <t>Dom. Recycled Metal [R1, C2]</t>
  </si>
  <si>
    <t>C2.CO2_ctg</t>
  </si>
  <si>
    <t>Gate-to-Gate</t>
  </si>
  <si>
    <t>Domestic</t>
  </si>
  <si>
    <t>Casting Virgin</t>
  </si>
  <si>
    <t>Residual Oil</t>
  </si>
  <si>
    <t>Natural Gas</t>
  </si>
  <si>
    <t>Nuclear Power</t>
  </si>
  <si>
    <t>Renewables</t>
  </si>
  <si>
    <t>2020 – 2022</t>
  </si>
  <si>
    <t>Base-case (2050)</t>
  </si>
  <si>
    <t>Net-Zero (2050)</t>
  </si>
  <si>
    <t>Electricity Grid Reference case (YX Electricity Trajectories - EF calculation from GREET)</t>
  </si>
  <si>
    <t>\rho^p</t>
  </si>
  <si>
    <t>Primary Source (p)</t>
  </si>
  <si>
    <t>new_post</t>
  </si>
  <si>
    <t>old_post</t>
  </si>
  <si>
    <t xml:space="preserve">Copy end_use table here: </t>
  </si>
  <si>
    <t>sum</t>
  </si>
  <si>
    <t>sum_ver</t>
  </si>
  <si>
    <t>B&amp;C</t>
  </si>
  <si>
    <t>Auto</t>
  </si>
  <si>
    <t>Transp.</t>
  </si>
  <si>
    <t>Cons. Dur.</t>
  </si>
  <si>
    <t>M&amp;E</t>
  </si>
  <si>
    <t>Cont. &amp; Pack.</t>
  </si>
  <si>
    <t>kg-semi per kg product</t>
  </si>
  <si>
    <t>kg-out/kg-in</t>
  </si>
  <si>
    <t>Yield</t>
  </si>
  <si>
    <t>kg CO2e/kg-Al</t>
  </si>
  <si>
    <t>CF (kgCO2/kg-out)</t>
  </si>
  <si>
    <t>Table S7: Reorganized Shipment</t>
  </si>
  <si>
    <t>Table S8: Semi Flows Summary</t>
  </si>
  <si>
    <t>Table S11: Domestic final product abrication</t>
  </si>
  <si>
    <t>Table S13: Final product summary</t>
  </si>
  <si>
    <t>Table S24</t>
  </si>
  <si>
    <t>Table S28</t>
  </si>
  <si>
    <t>Table S44</t>
  </si>
  <si>
    <t>now</t>
  </si>
  <si>
    <t>EoL Scrap Processing</t>
  </si>
  <si>
    <t xml:space="preserve"> Total scrap recycled: domestic + import</t>
  </si>
  <si>
    <t>External scrap</t>
  </si>
  <si>
    <t>EoL inflow</t>
  </si>
  <si>
    <t>From R2</t>
  </si>
  <si>
    <t>From R1</t>
  </si>
  <si>
    <r>
      <rPr>
        <b/>
        <sz val="12"/>
        <color theme="1"/>
        <rFont val="Calibri"/>
        <family val="2"/>
        <scheme val="minor"/>
      </rPr>
      <t>PCRR</t>
    </r>
    <r>
      <rPr>
        <sz val="12"/>
        <color theme="1"/>
        <rFont val="Calibri"/>
        <family val="2"/>
        <scheme val="minor"/>
      </rPr>
      <t xml:space="preserve"> (recycled/Available)</t>
    </r>
  </si>
  <si>
    <r>
      <rPr>
        <b/>
        <sz val="12"/>
        <color theme="1"/>
        <rFont val="Calibri"/>
        <family val="2"/>
        <scheme val="minor"/>
      </rPr>
      <t>PCRC</t>
    </r>
    <r>
      <rPr>
        <sz val="12"/>
        <color theme="1"/>
        <rFont val="Calibri"/>
        <family val="2"/>
        <scheme val="minor"/>
      </rPr>
      <t xml:space="preserve"> (recyced content/alloy)</t>
    </r>
  </si>
  <si>
    <t>Recycled Post-consumer</t>
  </si>
  <si>
    <t>Recycled content in alloys</t>
  </si>
  <si>
    <t>presorted_scrap_ratio (u%)</t>
  </si>
  <si>
    <t>EoL_scrap_ratio (v%)</t>
  </si>
  <si>
    <t>sweetener_ratio (w%)</t>
  </si>
  <si>
    <t>Remelted metal</t>
  </si>
  <si>
    <t>Calculating v% for R1 based on PCRC retunred from optimization</t>
  </si>
  <si>
    <t>Recycled metal</t>
  </si>
  <si>
    <t>amount (kt)</t>
  </si>
  <si>
    <t>v%</t>
  </si>
  <si>
    <t>PCRR</t>
  </si>
  <si>
    <t>Constraint</t>
  </si>
  <si>
    <t>Equation</t>
  </si>
  <si>
    <t>Casting virgin</t>
  </si>
  <si>
    <t>Improvement</t>
  </si>
  <si>
    <t>limit</t>
  </si>
  <si>
    <t>Scenario A: Yield UpperboundS</t>
  </si>
  <si>
    <t>sector</t>
  </si>
  <si>
    <t>R1_EoL_scrap_ratio_1</t>
  </si>
  <si>
    <t>Change</t>
  </si>
  <si>
    <t>Sheet and Foil 2020</t>
  </si>
  <si>
    <t>Sheet and Foil 2050</t>
  </si>
  <si>
    <t>Aggregate Semi 2050</t>
  </si>
  <si>
    <t>Aggregate Semi 2020</t>
  </si>
  <si>
    <t>Table S43 Deformation (F1-F4)</t>
  </si>
  <si>
    <t>Table S44 Fabrication (P1-P8)</t>
  </si>
  <si>
    <t xml:space="preserve">Table S26 </t>
  </si>
  <si>
    <t>Table S29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</si>
</sst>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00"/>
    <numFmt numFmtId="166" formatCode="_(* #,##0_);_(* \(#,##0\);_(* &quot;-&quot;??_);_(@_)"/>
    <numFmt numFmtId="167" formatCode="0.0%"/>
    <numFmt numFmtId="168" formatCode="0.0000"/>
    <numFmt numFmtId="169" formatCode="#,##0.000"/>
    <numFmt numFmtId="170" formatCode="0.0000000"/>
    <numFmt numFmtId="171" formatCode="\+0.000;\-0.000;0.000"/>
    <numFmt numFmtId="172" formatCode="0.000000000"/>
  </numFmts>
  <fonts count="52">
    <font>
      <sz val="12"/>
      <color theme="1"/>
      <name val="Calibri"/>
      <family val="2"/>
      <scheme val="minor"/>
    </font>
    <font>
      <sz val="10"/>
      <color rgb="FF000000"/>
      <name val="Tahoma"/>
      <family val="2"/>
    </font>
    <font>
      <sz val="12"/>
      <color theme="1"/>
      <name val="Calibri (Body)"/>
    </font>
    <font>
      <b/>
      <sz val="10"/>
      <color rgb="FF000000"/>
      <name val="Tahoma"/>
      <family val="2"/>
    </font>
    <font>
      <sz val="12"/>
      <name val="Calibri"/>
      <family val="2"/>
      <scheme val="minor"/>
    </font>
    <font>
      <sz val="12"/>
      <color rgb="FF000000"/>
      <name val="Calibri"/>
      <family val="2"/>
      <scheme val="minor"/>
    </font>
    <font>
      <b/>
      <sz val="9"/>
      <color indexed="81"/>
      <name val="Tahoma"/>
      <family val="2"/>
    </font>
    <font>
      <sz val="9"/>
      <color indexed="81"/>
      <name val="Tahoma"/>
      <family val="2"/>
    </font>
    <font>
      <b/>
      <sz val="12"/>
      <color theme="1"/>
      <name val="Calibri"/>
      <family val="2"/>
      <scheme val="minor"/>
    </font>
    <font>
      <sz val="12"/>
      <color rgb="FFC00000"/>
      <name val="Calibri"/>
      <family val="2"/>
      <scheme val="minor"/>
    </font>
    <font>
      <sz val="12"/>
      <color theme="1"/>
      <name val="Calibri"/>
      <family val="2"/>
      <scheme val="minor"/>
    </font>
    <font>
      <b/>
      <sz val="9"/>
      <color rgb="FF000000"/>
      <name val="Tahoma"/>
      <family val="2"/>
    </font>
    <font>
      <sz val="9"/>
      <color rgb="FF000000"/>
      <name val="Tahoma"/>
      <family val="2"/>
    </font>
    <font>
      <b/>
      <sz val="12"/>
      <color rgb="FFC00000"/>
      <name val="Calibri"/>
      <family val="2"/>
      <scheme val="minor"/>
    </font>
    <font>
      <sz val="10"/>
      <color rgb="FF000000"/>
      <name val="Helvetica Neue"/>
      <family val="2"/>
    </font>
    <font>
      <b/>
      <sz val="12"/>
      <name val="Calibri"/>
      <family val="2"/>
      <scheme val="minor"/>
    </font>
    <font>
      <sz val="12"/>
      <color rgb="FF0000CC"/>
      <name val="Calibri"/>
      <family val="2"/>
      <scheme val="minor"/>
    </font>
    <font>
      <b/>
      <sz val="12"/>
      <color rgb="FF0000CC"/>
      <name val="Calibri"/>
      <family val="2"/>
      <scheme val="minor"/>
    </font>
    <font>
      <sz val="12"/>
      <color theme="1"/>
      <name val="Times New Roman"/>
      <family val="1"/>
    </font>
    <font>
      <sz val="10"/>
      <color theme="1"/>
      <name val="Times New Roman"/>
      <family val="1"/>
    </font>
    <font>
      <sz val="10"/>
      <color rgb="FFC00000"/>
      <name val="Times New Roman"/>
      <family val="1"/>
    </font>
    <font>
      <sz val="10"/>
      <name val="Times New Roman"/>
      <family val="1"/>
    </font>
    <font>
      <sz val="10"/>
      <color rgb="FF0000CC"/>
      <name val="Times New Roman"/>
      <family val="1"/>
    </font>
    <font>
      <sz val="12"/>
      <color rgb="FFFF0000"/>
      <name val="Calibri"/>
      <family val="2"/>
      <scheme val="minor"/>
    </font>
    <font>
      <sz val="10"/>
      <color rgb="FF000000"/>
      <name val="Calibri"/>
      <family val="2"/>
      <scheme val="minor"/>
    </font>
    <font>
      <b/>
      <sz val="10"/>
      <color rgb="FF000000"/>
      <name val="Calibri"/>
      <family val="2"/>
      <scheme val="minor"/>
    </font>
    <font>
      <b/>
      <sz val="10"/>
      <color rgb="FF000000"/>
      <name val="Calibri"/>
      <family val="2"/>
    </font>
    <font>
      <sz val="10"/>
      <color rgb="FF000000"/>
      <name val="Calibri"/>
      <family val="2"/>
    </font>
    <font>
      <sz val="9"/>
      <color rgb="FF000000"/>
      <name val="Calibri"/>
      <family val="2"/>
    </font>
    <font>
      <sz val="8"/>
      <color theme="1"/>
      <name val="Times New Roman"/>
      <family val="1"/>
    </font>
    <font>
      <sz val="7"/>
      <color theme="1"/>
      <name val="Times New Roman"/>
      <family val="1"/>
    </font>
    <font>
      <sz val="12"/>
      <color rgb="FF0000CC"/>
      <name val="Times New Roman"/>
      <family val="1"/>
    </font>
    <font>
      <b/>
      <sz val="12"/>
      <color rgb="FF0000CC"/>
      <name val="Times New Roman"/>
      <family val="1"/>
    </font>
    <font>
      <b/>
      <sz val="12"/>
      <color theme="1"/>
      <name val="Times New Roman"/>
      <family val="1"/>
    </font>
    <font>
      <sz val="12"/>
      <color rgb="FFC00000"/>
      <name val="Times New Roman"/>
      <family val="1"/>
    </font>
    <font>
      <sz val="12"/>
      <name val="Times New Roman"/>
      <family val="1"/>
    </font>
    <font>
      <sz val="8"/>
      <name val="Times New Roman"/>
      <family val="1"/>
    </font>
    <font>
      <b/>
      <sz val="12"/>
      <name val="Times New Roman"/>
      <family val="1"/>
    </font>
    <font>
      <sz val="12"/>
      <color theme="2" tint="-0.249977111117893"/>
      <name val="Times New Roman"/>
      <family val="1"/>
    </font>
    <font>
      <sz val="9"/>
      <color theme="1"/>
      <name val="Times New Roman"/>
      <family val="1"/>
    </font>
    <font>
      <sz val="9"/>
      <name val="Times New Roman"/>
      <family val="1"/>
    </font>
    <font>
      <sz val="10"/>
      <color rgb="FF000000"/>
      <name val="Times New Roman"/>
      <family val="1"/>
    </font>
    <font>
      <b/>
      <sz val="10"/>
      <color theme="1"/>
      <name val="Times New Roman"/>
      <family val="1"/>
    </font>
    <font>
      <b/>
      <sz val="11"/>
      <color rgb="FF000000"/>
      <name val="Times New Roman"/>
      <family val="1"/>
    </font>
    <font>
      <sz val="8"/>
      <color rgb="FF0000CC"/>
      <name val="Times New Roman"/>
      <family val="1"/>
    </font>
    <font>
      <b/>
      <sz val="11"/>
      <color theme="1"/>
      <name val="Calibri"/>
      <family val="2"/>
      <scheme val="minor"/>
    </font>
    <font>
      <sz val="7"/>
      <name val="Times New Roman"/>
      <family val="1"/>
    </font>
    <font>
      <b/>
      <sz val="12"/>
      <color rgb="FF000000"/>
      <name val="Times New Roman"/>
      <family val="1"/>
    </font>
    <font>
      <sz val="12"/>
      <color rgb="FF000000"/>
      <name val="Times New Roman"/>
      <family val="1"/>
    </font>
    <font>
      <sz val="11"/>
      <color theme="1"/>
      <name val="Times New Roman"/>
      <family val="1"/>
    </font>
    <font>
      <b/>
      <sz val="11"/>
      <color theme="1"/>
      <name val="Times New Roman"/>
      <family val="1"/>
    </font>
    <font>
      <sz val="8"/>
      <color rgb="FF000000"/>
      <name val="Times New Roman"/>
      <family val="1"/>
    </font>
  </fonts>
  <fills count="15">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7"/>
        <bgColor indexed="64"/>
      </patternFill>
    </fill>
    <fill>
      <patternFill patternType="solid">
        <fgColor theme="4" tint="0.79998168889431442"/>
        <bgColor indexed="64"/>
      </patternFill>
    </fill>
    <fill>
      <patternFill patternType="solid">
        <fgColor rgb="FFE7E6E6"/>
        <bgColor rgb="FF000000"/>
      </patternFill>
    </fill>
    <fill>
      <patternFill patternType="solid">
        <fgColor theme="7" tint="0.79998168889431442"/>
        <bgColor rgb="FF000000"/>
      </patternFill>
    </fill>
    <fill>
      <patternFill patternType="solid">
        <fgColor theme="2"/>
        <bgColor rgb="FF000000"/>
      </patternFill>
    </fill>
  </fills>
  <borders count="6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slantDashDot">
        <color indexed="64"/>
      </right>
      <top/>
      <bottom/>
      <diagonal/>
    </border>
    <border>
      <left style="slantDashDot">
        <color indexed="64"/>
      </left>
      <right style="slantDashDot">
        <color indexed="64"/>
      </right>
      <top/>
      <bottom/>
      <diagonal/>
    </border>
    <border>
      <left style="slantDashDot">
        <color indexed="64"/>
      </left>
      <right style="slantDashDot">
        <color indexed="64"/>
      </right>
      <top/>
      <bottom style="slantDashDot">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style="medium">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medium">
        <color indexed="64"/>
      </left>
      <right style="slantDashDot">
        <color indexed="64"/>
      </right>
      <top style="medium">
        <color indexed="64"/>
      </top>
      <bottom/>
      <diagonal/>
    </border>
    <border>
      <left style="medium">
        <color indexed="64"/>
      </left>
      <right style="slantDashDot">
        <color indexed="64"/>
      </right>
      <top/>
      <bottom style="medium">
        <color indexed="64"/>
      </bottom>
      <diagonal/>
    </border>
    <border>
      <left style="medium">
        <color indexed="64"/>
      </left>
      <right style="slantDashDot">
        <color indexed="64"/>
      </right>
      <top style="medium">
        <color indexed="64"/>
      </top>
      <bottom style="medium">
        <color indexed="64"/>
      </bottom>
      <diagonal/>
    </border>
    <border>
      <left style="slantDashDot">
        <color indexed="64"/>
      </left>
      <right style="slantDashDot">
        <color indexed="64"/>
      </right>
      <top style="medium">
        <color indexed="64"/>
      </top>
      <bottom/>
      <diagonal/>
    </border>
    <border>
      <left style="slantDashDot">
        <color indexed="64"/>
      </left>
      <right style="slantDashDot">
        <color indexed="64"/>
      </right>
      <top/>
      <bottom style="medium">
        <color indexed="64"/>
      </bottom>
      <diagonal/>
    </border>
    <border>
      <left style="mediumDashed">
        <color indexed="64"/>
      </left>
      <right/>
      <top style="mediumDashed">
        <color indexed="64"/>
      </top>
      <bottom/>
      <diagonal/>
    </border>
    <border>
      <left/>
      <right/>
      <top style="mediumDashed">
        <color indexed="64"/>
      </top>
      <bottom/>
      <diagonal/>
    </border>
    <border>
      <left style="mediumDashed">
        <color indexed="64"/>
      </left>
      <right/>
      <top/>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mediumDashed">
        <color indexed="64"/>
      </right>
      <top/>
      <bottom/>
      <diagonal/>
    </border>
    <border>
      <left/>
      <right style="mediumDashed">
        <color indexed="64"/>
      </right>
      <top style="mediumDashed">
        <color indexed="64"/>
      </top>
      <bottom/>
      <diagonal/>
    </border>
    <border>
      <left style="mediumDashed">
        <color indexed="64"/>
      </left>
      <right/>
      <top/>
      <bottom style="mediumDashed">
        <color indexed="64"/>
      </bottom>
      <diagonal/>
    </border>
    <border>
      <left/>
      <right/>
      <top/>
      <bottom style="mediumDashed">
        <color indexed="64"/>
      </bottom>
      <diagonal/>
    </border>
    <border>
      <left/>
      <right style="mediumDashed">
        <color indexed="64"/>
      </right>
      <top/>
      <bottom style="mediumDashed">
        <color indexed="64"/>
      </bottom>
      <diagonal/>
    </border>
  </borders>
  <cellStyleXfs count="4">
    <xf numFmtId="0" fontId="0" fillId="0" borderId="0"/>
    <xf numFmtId="43" fontId="10" fillId="0" borderId="0" applyFont="0" applyFill="0" applyBorder="0" applyAlignment="0" applyProtection="0"/>
    <xf numFmtId="9" fontId="10" fillId="0" borderId="0" applyFont="0" applyFill="0" applyBorder="0" applyAlignment="0" applyProtection="0"/>
    <xf numFmtId="0" fontId="10" fillId="0" borderId="0"/>
  </cellStyleXfs>
  <cellXfs count="848">
    <xf numFmtId="0" fontId="0" fillId="0" borderId="0" xfId="0"/>
    <xf numFmtId="0" fontId="0" fillId="0" borderId="7" xfId="0" applyBorder="1"/>
    <xf numFmtId="0" fontId="0" fillId="0" borderId="8" xfId="0" applyBorder="1"/>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5" fontId="0" fillId="0" borderId="12" xfId="0" applyNumberFormat="1" applyBorder="1"/>
    <xf numFmtId="165" fontId="0" fillId="0" borderId="13" xfId="0" applyNumberFormat="1" applyBorder="1"/>
    <xf numFmtId="165" fontId="0" fillId="0" borderId="14" xfId="0" applyNumberFormat="1" applyBorder="1"/>
    <xf numFmtId="165" fontId="0" fillId="0" borderId="15" xfId="0" applyNumberFormat="1" applyBorder="1"/>
    <xf numFmtId="165" fontId="0" fillId="0" borderId="0" xfId="0" applyNumberFormat="1"/>
    <xf numFmtId="165" fontId="0" fillId="0" borderId="16" xfId="0" applyNumberFormat="1" applyBorder="1"/>
    <xf numFmtId="165" fontId="0" fillId="0" borderId="17" xfId="0" applyNumberFormat="1" applyBorder="1"/>
    <xf numFmtId="165" fontId="0" fillId="0" borderId="18" xfId="0" applyNumberFormat="1" applyBorder="1"/>
    <xf numFmtId="165" fontId="0" fillId="0" borderId="19" xfId="0" applyNumberFormat="1" applyBorder="1"/>
    <xf numFmtId="0" fontId="0" fillId="0" borderId="23" xfId="0" applyBorder="1"/>
    <xf numFmtId="0" fontId="0" fillId="0" borderId="24" xfId="0" applyBorder="1"/>
    <xf numFmtId="0" fontId="0" fillId="0" borderId="25" xfId="0" applyBorder="1"/>
    <xf numFmtId="0" fontId="0" fillId="0" borderId="31" xfId="0" applyBorder="1"/>
    <xf numFmtId="2" fontId="0" fillId="0" borderId="2" xfId="0" applyNumberFormat="1" applyBorder="1"/>
    <xf numFmtId="2" fontId="0" fillId="0" borderId="3" xfId="0" applyNumberFormat="1" applyBorder="1"/>
    <xf numFmtId="2" fontId="0" fillId="0" borderId="4" xfId="0" applyNumberFormat="1" applyBorder="1"/>
    <xf numFmtId="2" fontId="0" fillId="0" borderId="1" xfId="0" applyNumberFormat="1" applyBorder="1"/>
    <xf numFmtId="2" fontId="0" fillId="0" borderId="5" xfId="0" applyNumberFormat="1" applyBorder="1"/>
    <xf numFmtId="2" fontId="0" fillId="0" borderId="6" xfId="0" applyNumberFormat="1" applyBorder="1"/>
    <xf numFmtId="0" fontId="0" fillId="0" borderId="32" xfId="0" applyBorder="1"/>
    <xf numFmtId="2" fontId="0" fillId="0" borderId="29" xfId="0" applyNumberFormat="1" applyBorder="1"/>
    <xf numFmtId="2" fontId="0" fillId="0" borderId="10" xfId="0" applyNumberFormat="1" applyBorder="1"/>
    <xf numFmtId="2" fontId="0" fillId="0" borderId="0" xfId="0" applyNumberFormat="1"/>
    <xf numFmtId="165" fontId="0" fillId="0" borderId="33" xfId="0" applyNumberFormat="1" applyBorder="1"/>
    <xf numFmtId="2" fontId="0" fillId="0" borderId="30" xfId="0" applyNumberFormat="1" applyBorder="1"/>
    <xf numFmtId="2" fontId="0" fillId="0" borderId="32" xfId="0" applyNumberFormat="1" applyBorder="1"/>
    <xf numFmtId="2" fontId="0" fillId="0" borderId="9" xfId="0" applyNumberFormat="1" applyBorder="1"/>
    <xf numFmtId="2" fontId="0" fillId="0" borderId="13" xfId="0" applyNumberFormat="1" applyBorder="1"/>
    <xf numFmtId="2" fontId="0" fillId="0" borderId="18" xfId="0" applyNumberFormat="1" applyBorder="1"/>
    <xf numFmtId="0" fontId="5" fillId="0" borderId="0" xfId="0" applyFont="1"/>
    <xf numFmtId="1" fontId="0" fillId="2" borderId="0" xfId="0" applyNumberFormat="1" applyFill="1"/>
    <xf numFmtId="1" fontId="0" fillId="0" borderId="0" xfId="0" applyNumberFormat="1"/>
    <xf numFmtId="0" fontId="0" fillId="0" borderId="40" xfId="0" applyBorder="1"/>
    <xf numFmtId="166" fontId="0" fillId="0" borderId="0" xfId="0" applyNumberFormat="1"/>
    <xf numFmtId="0" fontId="14" fillId="0" borderId="0" xfId="0" applyFont="1"/>
    <xf numFmtId="0" fontId="0" fillId="4" borderId="0" xfId="0" applyFill="1"/>
    <xf numFmtId="1" fontId="17" fillId="2" borderId="0" xfId="0" applyNumberFormat="1" applyFont="1" applyFill="1"/>
    <xf numFmtId="0" fontId="4" fillId="0" borderId="0" xfId="0" applyFont="1"/>
    <xf numFmtId="0" fontId="15" fillId="3" borderId="0" xfId="0" applyFont="1" applyFill="1"/>
    <xf numFmtId="1" fontId="15" fillId="3" borderId="0" xfId="0" applyNumberFormat="1" applyFont="1" applyFill="1"/>
    <xf numFmtId="0" fontId="9" fillId="0" borderId="0" xfId="0" applyFont="1"/>
    <xf numFmtId="0" fontId="16" fillId="0" borderId="0" xfId="0" applyFont="1"/>
    <xf numFmtId="1" fontId="8" fillId="0" borderId="0" xfId="0" applyNumberFormat="1" applyFont="1"/>
    <xf numFmtId="0" fontId="8" fillId="0" borderId="0" xfId="0" applyFont="1"/>
    <xf numFmtId="166" fontId="16" fillId="0" borderId="0" xfId="1" applyNumberFormat="1" applyFont="1" applyFill="1" applyBorder="1"/>
    <xf numFmtId="166" fontId="0" fillId="0" borderId="0" xfId="1" applyNumberFormat="1" applyFont="1" applyFill="1" applyBorder="1"/>
    <xf numFmtId="166" fontId="9" fillId="0" borderId="0" xfId="1" applyNumberFormat="1" applyFont="1" applyFill="1" applyBorder="1"/>
    <xf numFmtId="43" fontId="9" fillId="0" borderId="0" xfId="0" applyNumberFormat="1" applyFont="1"/>
    <xf numFmtId="1" fontId="13" fillId="2" borderId="0" xfId="0" applyNumberFormat="1" applyFont="1" applyFill="1"/>
    <xf numFmtId="166" fontId="16" fillId="0" borderId="0" xfId="1" applyNumberFormat="1" applyFont="1"/>
    <xf numFmtId="0" fontId="18" fillId="0" borderId="0" xfId="0" applyFont="1" applyAlignment="1">
      <alignment horizontal="center" vertical="center"/>
    </xf>
    <xf numFmtId="3" fontId="18" fillId="0" borderId="0" xfId="0" applyNumberFormat="1" applyFont="1" applyAlignment="1">
      <alignment horizontal="center" vertical="center"/>
    </xf>
    <xf numFmtId="3" fontId="18" fillId="0" borderId="36" xfId="0" applyNumberFormat="1" applyFont="1" applyBorder="1" applyAlignment="1">
      <alignment horizontal="center" vertical="center"/>
    </xf>
    <xf numFmtId="3" fontId="18" fillId="0" borderId="41" xfId="0" applyNumberFormat="1" applyFont="1" applyBorder="1" applyAlignment="1">
      <alignment horizontal="center" vertical="center"/>
    </xf>
    <xf numFmtId="3" fontId="18" fillId="0" borderId="38" xfId="0" applyNumberFormat="1" applyFont="1" applyBorder="1" applyAlignment="1">
      <alignment horizontal="center" vertical="center"/>
    </xf>
    <xf numFmtId="3" fontId="18" fillId="0" borderId="39" xfId="0" applyNumberFormat="1" applyFont="1" applyBorder="1" applyAlignment="1">
      <alignment horizontal="center" vertical="center"/>
    </xf>
    <xf numFmtId="3" fontId="18" fillId="0" borderId="42" xfId="0" applyNumberFormat="1" applyFont="1" applyBorder="1" applyAlignment="1">
      <alignment horizontal="center" vertical="center"/>
    </xf>
    <xf numFmtId="3" fontId="18" fillId="5" borderId="0" xfId="0" applyNumberFormat="1" applyFont="1" applyFill="1" applyAlignment="1">
      <alignment horizontal="center" vertical="center"/>
    </xf>
    <xf numFmtId="0" fontId="19" fillId="0" borderId="0" xfId="0" applyFont="1"/>
    <xf numFmtId="166" fontId="10" fillId="0" borderId="0" xfId="1" applyNumberFormat="1" applyFont="1" applyFill="1" applyBorder="1"/>
    <xf numFmtId="166" fontId="17" fillId="0" borderId="0" xfId="1" applyNumberFormat="1" applyFont="1" applyFill="1" applyBorder="1"/>
    <xf numFmtId="0" fontId="5" fillId="0" borderId="12" xfId="0" applyFont="1" applyBorder="1"/>
    <xf numFmtId="0" fontId="5" fillId="0" borderId="15" xfId="0" applyFont="1" applyBorder="1"/>
    <xf numFmtId="0" fontId="5" fillId="0" borderId="17" xfId="0" applyFont="1" applyBorder="1"/>
    <xf numFmtId="2" fontId="0" fillId="3" borderId="0" xfId="0" applyNumberFormat="1" applyFill="1"/>
    <xf numFmtId="2" fontId="0" fillId="3" borderId="1" xfId="0" applyNumberFormat="1" applyFill="1" applyBorder="1"/>
    <xf numFmtId="2" fontId="0" fillId="6" borderId="14" xfId="0" applyNumberFormat="1" applyFill="1" applyBorder="1"/>
    <xf numFmtId="2" fontId="0" fillId="6" borderId="16" xfId="0" applyNumberFormat="1" applyFill="1" applyBorder="1"/>
    <xf numFmtId="2" fontId="0" fillId="6" borderId="19" xfId="0" applyNumberFormat="1" applyFill="1" applyBorder="1"/>
    <xf numFmtId="1" fontId="0" fillId="6" borderId="0" xfId="0" applyNumberFormat="1" applyFill="1"/>
    <xf numFmtId="2" fontId="0" fillId="6" borderId="0" xfId="0" applyNumberFormat="1" applyFill="1"/>
    <xf numFmtId="2" fontId="0" fillId="6" borderId="1" xfId="0" applyNumberFormat="1" applyFill="1" applyBorder="1"/>
    <xf numFmtId="2" fontId="0" fillId="6" borderId="23" xfId="0" applyNumberFormat="1" applyFill="1" applyBorder="1"/>
    <xf numFmtId="2" fontId="0" fillId="6" borderId="24" xfId="0" applyNumberFormat="1" applyFill="1" applyBorder="1"/>
    <xf numFmtId="2" fontId="0" fillId="6" borderId="25" xfId="0" applyNumberFormat="1" applyFill="1" applyBorder="1"/>
    <xf numFmtId="2" fontId="0" fillId="3" borderId="3" xfId="0" applyNumberFormat="1" applyFill="1" applyBorder="1"/>
    <xf numFmtId="166" fontId="16" fillId="6" borderId="0" xfId="1" applyNumberFormat="1" applyFont="1" applyFill="1" applyBorder="1"/>
    <xf numFmtId="166" fontId="16" fillId="6" borderId="16" xfId="1" applyNumberFormat="1" applyFont="1" applyFill="1" applyBorder="1"/>
    <xf numFmtId="165" fontId="0" fillId="6" borderId="0" xfId="0" applyNumberFormat="1" applyFill="1"/>
    <xf numFmtId="165" fontId="0" fillId="6" borderId="16" xfId="0" applyNumberFormat="1" applyFill="1" applyBorder="1"/>
    <xf numFmtId="166" fontId="4" fillId="6" borderId="18" xfId="1" applyNumberFormat="1" applyFont="1" applyFill="1" applyBorder="1"/>
    <xf numFmtId="166" fontId="4" fillId="6" borderId="0" xfId="1" applyNumberFormat="1" applyFont="1" applyFill="1"/>
    <xf numFmtId="166" fontId="0" fillId="6" borderId="0" xfId="0" applyNumberFormat="1" applyFill="1"/>
    <xf numFmtId="165" fontId="0" fillId="4" borderId="0" xfId="0" applyNumberFormat="1" applyFill="1"/>
    <xf numFmtId="165" fontId="0" fillId="4" borderId="14" xfId="0" applyNumberFormat="1" applyFill="1" applyBorder="1"/>
    <xf numFmtId="165" fontId="0" fillId="4" borderId="16" xfId="0" applyNumberFormat="1" applyFill="1" applyBorder="1"/>
    <xf numFmtId="165" fontId="0" fillId="4" borderId="19" xfId="0" applyNumberFormat="1" applyFill="1" applyBorder="1"/>
    <xf numFmtId="165" fontId="0" fillId="6" borderId="13" xfId="0" applyNumberFormat="1" applyFill="1" applyBorder="1"/>
    <xf numFmtId="165" fontId="0" fillId="6" borderId="18" xfId="0" applyNumberFormat="1" applyFill="1" applyBorder="1"/>
    <xf numFmtId="165" fontId="0" fillId="6" borderId="15" xfId="0" applyNumberFormat="1" applyFill="1" applyBorder="1"/>
    <xf numFmtId="165" fontId="0" fillId="6" borderId="17" xfId="0" applyNumberFormat="1" applyFill="1" applyBorder="1"/>
    <xf numFmtId="1" fontId="4" fillId="6" borderId="0" xfId="0" applyNumberFormat="1" applyFont="1" applyFill="1"/>
    <xf numFmtId="1" fontId="15" fillId="6" borderId="0" xfId="0" applyNumberFormat="1" applyFont="1" applyFill="1"/>
    <xf numFmtId="1" fontId="8" fillId="6" borderId="0" xfId="0" applyNumberFormat="1" applyFont="1" applyFill="1"/>
    <xf numFmtId="1" fontId="13" fillId="4" borderId="0" xfId="0" applyNumberFormat="1" applyFont="1" applyFill="1"/>
    <xf numFmtId="1" fontId="0" fillId="3" borderId="0" xfId="0" applyNumberFormat="1" applyFill="1"/>
    <xf numFmtId="2" fontId="16" fillId="3" borderId="15" xfId="0" applyNumberFormat="1" applyFont="1" applyFill="1" applyBorder="1"/>
    <xf numFmtId="2" fontId="16" fillId="3" borderId="17" xfId="0" applyNumberFormat="1" applyFont="1" applyFill="1" applyBorder="1"/>
    <xf numFmtId="2" fontId="0" fillId="3" borderId="16" xfId="0" applyNumberFormat="1" applyFill="1" applyBorder="1"/>
    <xf numFmtId="2" fontId="0" fillId="3" borderId="13" xfId="0" applyNumberFormat="1" applyFill="1" applyBorder="1"/>
    <xf numFmtId="2" fontId="4" fillId="6" borderId="0" xfId="0" applyNumberFormat="1" applyFont="1" applyFill="1"/>
    <xf numFmtId="2" fontId="0" fillId="4" borderId="16" xfId="0" applyNumberFormat="1" applyFill="1" applyBorder="1"/>
    <xf numFmtId="165" fontId="0" fillId="6" borderId="12" xfId="0" applyNumberFormat="1" applyFill="1" applyBorder="1"/>
    <xf numFmtId="1" fontId="16" fillId="4" borderId="12" xfId="0" applyNumberFormat="1" applyFont="1" applyFill="1" applyBorder="1"/>
    <xf numFmtId="1" fontId="16" fillId="4" borderId="13" xfId="0" applyNumberFormat="1" applyFont="1" applyFill="1" applyBorder="1"/>
    <xf numFmtId="1" fontId="16" fillId="4" borderId="14" xfId="0" applyNumberFormat="1" applyFont="1" applyFill="1" applyBorder="1"/>
    <xf numFmtId="1" fontId="16" fillId="4" borderId="15" xfId="0" applyNumberFormat="1" applyFont="1" applyFill="1" applyBorder="1"/>
    <xf numFmtId="1" fontId="16" fillId="4" borderId="16" xfId="0" applyNumberFormat="1" applyFont="1" applyFill="1" applyBorder="1"/>
    <xf numFmtId="1" fontId="16" fillId="4" borderId="17" xfId="0" applyNumberFormat="1" applyFont="1" applyFill="1" applyBorder="1"/>
    <xf numFmtId="1" fontId="16" fillId="4" borderId="18" xfId="0" applyNumberFormat="1" applyFont="1" applyFill="1" applyBorder="1"/>
    <xf numFmtId="1" fontId="16" fillId="4" borderId="19" xfId="0" applyNumberFormat="1" applyFont="1" applyFill="1" applyBorder="1"/>
    <xf numFmtId="1" fontId="16" fillId="4" borderId="20" xfId="0" applyNumberFormat="1" applyFont="1" applyFill="1" applyBorder="1"/>
    <xf numFmtId="1" fontId="16" fillId="4" borderId="21" xfId="0" applyNumberFormat="1" applyFont="1" applyFill="1" applyBorder="1"/>
    <xf numFmtId="1" fontId="16" fillId="4" borderId="22" xfId="0" applyNumberFormat="1" applyFont="1" applyFill="1" applyBorder="1"/>
    <xf numFmtId="165" fontId="0" fillId="4" borderId="13" xfId="0" applyNumberFormat="1" applyFill="1" applyBorder="1"/>
    <xf numFmtId="1" fontId="9" fillId="4" borderId="0" xfId="0" applyNumberFormat="1" applyFont="1" applyFill="1"/>
    <xf numFmtId="1" fontId="16" fillId="6" borderId="21" xfId="0" applyNumberFormat="1" applyFont="1" applyFill="1" applyBorder="1"/>
    <xf numFmtId="1" fontId="16" fillId="6" borderId="22" xfId="0" applyNumberFormat="1" applyFont="1" applyFill="1" applyBorder="1"/>
    <xf numFmtId="2" fontId="0" fillId="0" borderId="15" xfId="0" applyNumberFormat="1" applyBorder="1"/>
    <xf numFmtId="2" fontId="0" fillId="0" borderId="16" xfId="0" applyNumberFormat="1" applyBorder="1"/>
    <xf numFmtId="2" fontId="0" fillId="0" borderId="17" xfId="0" applyNumberFormat="1" applyBorder="1"/>
    <xf numFmtId="2" fontId="0" fillId="0" borderId="19" xfId="0" applyNumberFormat="1" applyBorder="1"/>
    <xf numFmtId="1" fontId="15" fillId="0" borderId="0" xfId="0" applyNumberFormat="1" applyFont="1"/>
    <xf numFmtId="1" fontId="0" fillId="0" borderId="14" xfId="0" applyNumberFormat="1" applyBorder="1"/>
    <xf numFmtId="1" fontId="0" fillId="0" borderId="16" xfId="0" applyNumberFormat="1" applyBorder="1"/>
    <xf numFmtId="1" fontId="0" fillId="0" borderId="19" xfId="0" applyNumberFormat="1" applyBorder="1"/>
    <xf numFmtId="1" fontId="0" fillId="0" borderId="2" xfId="0" applyNumberFormat="1" applyBorder="1"/>
    <xf numFmtId="1" fontId="0" fillId="0" borderId="3" xfId="0" applyNumberFormat="1" applyBorder="1"/>
    <xf numFmtId="1" fontId="0" fillId="0" borderId="29" xfId="0" applyNumberFormat="1" applyBorder="1"/>
    <xf numFmtId="1" fontId="0" fillId="0" borderId="31" xfId="0" applyNumberFormat="1" applyBorder="1"/>
    <xf numFmtId="1" fontId="0" fillId="0" borderId="34" xfId="0" applyNumberFormat="1" applyBorder="1"/>
    <xf numFmtId="1" fontId="0" fillId="0" borderId="35" xfId="0" applyNumberFormat="1" applyBorder="1"/>
    <xf numFmtId="1" fontId="0" fillId="0" borderId="4" xfId="0" applyNumberFormat="1" applyBorder="1"/>
    <xf numFmtId="1" fontId="0" fillId="0" borderId="1" xfId="0" applyNumberFormat="1" applyBorder="1"/>
    <xf numFmtId="1" fontId="0" fillId="0" borderId="10" xfId="0" applyNumberFormat="1" applyBorder="1"/>
    <xf numFmtId="1" fontId="0" fillId="0" borderId="33" xfId="0" applyNumberFormat="1" applyBorder="1"/>
    <xf numFmtId="1" fontId="0" fillId="0" borderId="36" xfId="0" applyNumberFormat="1" applyBorder="1"/>
    <xf numFmtId="1" fontId="0" fillId="0" borderId="5" xfId="0" applyNumberFormat="1" applyBorder="1"/>
    <xf numFmtId="1" fontId="0" fillId="0" borderId="6" xfId="0" applyNumberFormat="1" applyBorder="1"/>
    <xf numFmtId="1" fontId="0" fillId="0" borderId="30" xfId="0" applyNumberFormat="1" applyBorder="1"/>
    <xf numFmtId="1" fontId="0" fillId="0" borderId="37" xfId="0" applyNumberFormat="1" applyBorder="1"/>
    <xf numFmtId="1" fontId="0" fillId="0" borderId="38" xfId="0" applyNumberFormat="1" applyBorder="1"/>
    <xf numFmtId="1" fontId="0" fillId="0" borderId="39" xfId="0" applyNumberFormat="1" applyBorder="1"/>
    <xf numFmtId="1" fontId="4" fillId="0" borderId="0" xfId="0" applyNumberFormat="1" applyFont="1"/>
    <xf numFmtId="2" fontId="0" fillId="6" borderId="17" xfId="0" applyNumberFormat="1" applyFill="1" applyBorder="1"/>
    <xf numFmtId="2" fontId="0" fillId="6" borderId="18" xfId="0" applyNumberFormat="1" applyFill="1" applyBorder="1"/>
    <xf numFmtId="166" fontId="4" fillId="6" borderId="19" xfId="1" applyNumberFormat="1" applyFont="1" applyFill="1" applyBorder="1"/>
    <xf numFmtId="2" fontId="13" fillId="6" borderId="0" xfId="0" applyNumberFormat="1" applyFont="1" applyFill="1"/>
    <xf numFmtId="2" fontId="17" fillId="6" borderId="0" xfId="0" applyNumberFormat="1" applyFont="1" applyFill="1"/>
    <xf numFmtId="1" fontId="4" fillId="6" borderId="20" xfId="0" applyNumberFormat="1" applyFont="1" applyFill="1" applyBorder="1"/>
    <xf numFmtId="1" fontId="4" fillId="6" borderId="21" xfId="0" applyNumberFormat="1" applyFont="1" applyFill="1" applyBorder="1"/>
    <xf numFmtId="1" fontId="4" fillId="6" borderId="22" xfId="0" applyNumberFormat="1" applyFont="1" applyFill="1" applyBorder="1"/>
    <xf numFmtId="2" fontId="0" fillId="6" borderId="10" xfId="0" applyNumberFormat="1" applyFill="1" applyBorder="1"/>
    <xf numFmtId="2" fontId="0" fillId="3" borderId="14" xfId="0" applyNumberFormat="1" applyFill="1" applyBorder="1"/>
    <xf numFmtId="166" fontId="20" fillId="0" borderId="0" xfId="1" applyNumberFormat="1" applyFont="1" applyBorder="1"/>
    <xf numFmtId="166" fontId="19" fillId="0" borderId="0" xfId="1" applyNumberFormat="1" applyFont="1" applyBorder="1"/>
    <xf numFmtId="166" fontId="22" fillId="0" borderId="0" xfId="1" applyNumberFormat="1" applyFont="1" applyBorder="1"/>
    <xf numFmtId="0" fontId="2" fillId="3" borderId="44" xfId="0" applyFont="1" applyFill="1" applyBorder="1"/>
    <xf numFmtId="0" fontId="0" fillId="6" borderId="1" xfId="0" applyFill="1" applyBorder="1"/>
    <xf numFmtId="2" fontId="4" fillId="0" borderId="0" xfId="0" applyNumberFormat="1" applyFont="1"/>
    <xf numFmtId="0" fontId="2" fillId="0" borderId="2" xfId="0" applyFont="1" applyBorder="1"/>
    <xf numFmtId="1" fontId="0" fillId="6" borderId="38" xfId="0" applyNumberFormat="1" applyFill="1" applyBorder="1"/>
    <xf numFmtId="0" fontId="0" fillId="0" borderId="34" xfId="0" applyBorder="1"/>
    <xf numFmtId="1" fontId="0" fillId="6" borderId="34" xfId="0" applyNumberFormat="1" applyFill="1" applyBorder="1"/>
    <xf numFmtId="1" fontId="0" fillId="6" borderId="12" xfId="0" applyNumberFormat="1" applyFill="1" applyBorder="1"/>
    <xf numFmtId="167" fontId="0" fillId="6" borderId="14" xfId="2" applyNumberFormat="1" applyFont="1" applyFill="1" applyBorder="1"/>
    <xf numFmtId="1" fontId="0" fillId="6" borderId="15" xfId="0" applyNumberFormat="1" applyFill="1" applyBorder="1"/>
    <xf numFmtId="167" fontId="0" fillId="6" borderId="16" xfId="2" applyNumberFormat="1" applyFont="1" applyFill="1" applyBorder="1"/>
    <xf numFmtId="167" fontId="0" fillId="4" borderId="16" xfId="2" applyNumberFormat="1" applyFont="1" applyFill="1" applyBorder="1"/>
    <xf numFmtId="1" fontId="0" fillId="6" borderId="17" xfId="0" applyNumberFormat="1" applyFill="1" applyBorder="1"/>
    <xf numFmtId="165" fontId="8" fillId="6" borderId="0" xfId="0" applyNumberFormat="1" applyFont="1" applyFill="1"/>
    <xf numFmtId="0" fontId="8" fillId="0" borderId="38" xfId="0" applyFont="1" applyBorder="1"/>
    <xf numFmtId="9" fontId="0" fillId="4" borderId="0" xfId="2" applyFont="1" applyFill="1"/>
    <xf numFmtId="167" fontId="0" fillId="6" borderId="0" xfId="2" applyNumberFormat="1" applyFont="1" applyFill="1"/>
    <xf numFmtId="167" fontId="0" fillId="4" borderId="0" xfId="2" applyNumberFormat="1" applyFont="1" applyFill="1"/>
    <xf numFmtId="9" fontId="0" fillId="4" borderId="0" xfId="0" applyNumberFormat="1" applyFill="1"/>
    <xf numFmtId="9" fontId="0" fillId="6" borderId="0" xfId="0" applyNumberFormat="1" applyFill="1"/>
    <xf numFmtId="167" fontId="16" fillId="4" borderId="16" xfId="2" applyNumberFormat="1" applyFont="1" applyFill="1" applyBorder="1"/>
    <xf numFmtId="167" fontId="16" fillId="4" borderId="14" xfId="2" applyNumberFormat="1" applyFont="1" applyFill="1" applyBorder="1"/>
    <xf numFmtId="167" fontId="0" fillId="0" borderId="0" xfId="2" applyNumberFormat="1" applyFont="1"/>
    <xf numFmtId="165" fontId="0" fillId="6" borderId="40" xfId="0" applyNumberFormat="1" applyFill="1" applyBorder="1"/>
    <xf numFmtId="0" fontId="0" fillId="0" borderId="38" xfId="0" applyBorder="1"/>
    <xf numFmtId="165" fontId="0" fillId="6" borderId="34" xfId="0" applyNumberFormat="1" applyFill="1" applyBorder="1"/>
    <xf numFmtId="165" fontId="0" fillId="6" borderId="38" xfId="0" applyNumberFormat="1" applyFill="1" applyBorder="1"/>
    <xf numFmtId="165" fontId="0" fillId="3" borderId="0" xfId="0" applyNumberFormat="1" applyFill="1"/>
    <xf numFmtId="0" fontId="9" fillId="0" borderId="12" xfId="0" applyFont="1" applyBorder="1"/>
    <xf numFmtId="0" fontId="16" fillId="0" borderId="15" xfId="0" applyFont="1" applyBorder="1"/>
    <xf numFmtId="0" fontId="0" fillId="3" borderId="15" xfId="0" applyFill="1" applyBorder="1"/>
    <xf numFmtId="0" fontId="0" fillId="3" borderId="16" xfId="0" applyFill="1" applyBorder="1"/>
    <xf numFmtId="0" fontId="0" fillId="6" borderId="15" xfId="0" applyFill="1" applyBorder="1"/>
    <xf numFmtId="0" fontId="0" fillId="6" borderId="16" xfId="0" applyFill="1" applyBorder="1"/>
    <xf numFmtId="0" fontId="0" fillId="4" borderId="15" xfId="0" applyFill="1" applyBorder="1"/>
    <xf numFmtId="0" fontId="0" fillId="4" borderId="16" xfId="0" applyFill="1" applyBorder="1"/>
    <xf numFmtId="1" fontId="0" fillId="3" borderId="34" xfId="0" applyNumberFormat="1" applyFill="1" applyBorder="1"/>
    <xf numFmtId="1" fontId="0" fillId="3" borderId="38" xfId="0" applyNumberFormat="1" applyFill="1" applyBorder="1"/>
    <xf numFmtId="1" fontId="0" fillId="2" borderId="38" xfId="0" applyNumberFormat="1" applyFill="1" applyBorder="1"/>
    <xf numFmtId="1" fontId="0" fillId="2" borderId="34" xfId="0" applyNumberFormat="1" applyFill="1" applyBorder="1"/>
    <xf numFmtId="1" fontId="0" fillId="6" borderId="31" xfId="0" applyNumberFormat="1" applyFill="1" applyBorder="1"/>
    <xf numFmtId="1" fontId="0" fillId="6" borderId="33" xfId="0" applyNumberFormat="1" applyFill="1" applyBorder="1"/>
    <xf numFmtId="1" fontId="0" fillId="6" borderId="37" xfId="0" applyNumberFormat="1" applyFill="1" applyBorder="1"/>
    <xf numFmtId="165" fontId="4" fillId="4" borderId="36" xfId="0" applyNumberFormat="1" applyFont="1" applyFill="1" applyBorder="1"/>
    <xf numFmtId="165" fontId="4" fillId="4" borderId="39" xfId="0" applyNumberFormat="1" applyFont="1" applyFill="1" applyBorder="1"/>
    <xf numFmtId="166" fontId="0" fillId="6" borderId="0" xfId="1" applyNumberFormat="1" applyFont="1" applyFill="1"/>
    <xf numFmtId="166" fontId="0" fillId="6" borderId="34" xfId="1" applyNumberFormat="1" applyFont="1" applyFill="1" applyBorder="1"/>
    <xf numFmtId="166" fontId="0" fillId="6" borderId="38" xfId="1" applyNumberFormat="1" applyFont="1" applyFill="1" applyBorder="1"/>
    <xf numFmtId="166" fontId="8" fillId="6" borderId="0" xfId="1" applyNumberFormat="1" applyFont="1" applyFill="1"/>
    <xf numFmtId="166" fontId="0" fillId="0" borderId="0" xfId="1" applyNumberFormat="1" applyFont="1"/>
    <xf numFmtId="166" fontId="0" fillId="0" borderId="0" xfId="1" applyNumberFormat="1" applyFont="1" applyFill="1"/>
    <xf numFmtId="1" fontId="0" fillId="6" borderId="35" xfId="0" applyNumberFormat="1" applyFill="1" applyBorder="1"/>
    <xf numFmtId="1" fontId="0" fillId="6" borderId="36" xfId="0" applyNumberFormat="1" applyFill="1" applyBorder="1"/>
    <xf numFmtId="1" fontId="0" fillId="6" borderId="39" xfId="0" applyNumberFormat="1" applyFill="1" applyBorder="1"/>
    <xf numFmtId="1" fontId="0" fillId="2" borderId="35" xfId="0" applyNumberFormat="1" applyFill="1" applyBorder="1"/>
    <xf numFmtId="0" fontId="0" fillId="0" borderId="33" xfId="0" applyBorder="1"/>
    <xf numFmtId="1" fontId="0" fillId="2" borderId="36" xfId="0" applyNumberFormat="1" applyFill="1" applyBorder="1"/>
    <xf numFmtId="0" fontId="0" fillId="0" borderId="37" xfId="0" applyBorder="1"/>
    <xf numFmtId="1" fontId="0" fillId="2" borderId="39" xfId="0" applyNumberFormat="1" applyFill="1" applyBorder="1"/>
    <xf numFmtId="1" fontId="8" fillId="6" borderId="31" xfId="0" applyNumberFormat="1" applyFont="1" applyFill="1" applyBorder="1"/>
    <xf numFmtId="1" fontId="8" fillId="6" borderId="33" xfId="0" applyNumberFormat="1" applyFont="1" applyFill="1" applyBorder="1"/>
    <xf numFmtId="1" fontId="8" fillId="6" borderId="37" xfId="0" applyNumberFormat="1" applyFont="1" applyFill="1" applyBorder="1"/>
    <xf numFmtId="1" fontId="0" fillId="2" borderId="31" xfId="0" applyNumberFormat="1" applyFill="1" applyBorder="1"/>
    <xf numFmtId="168" fontId="0" fillId="4" borderId="35" xfId="0" applyNumberFormat="1" applyFill="1" applyBorder="1"/>
    <xf numFmtId="1" fontId="0" fillId="2" borderId="33" xfId="0" applyNumberFormat="1" applyFill="1" applyBorder="1"/>
    <xf numFmtId="168" fontId="0" fillId="4" borderId="36" xfId="0" applyNumberFormat="1" applyFill="1" applyBorder="1"/>
    <xf numFmtId="1" fontId="0" fillId="2" borderId="37" xfId="0" applyNumberFormat="1" applyFill="1" applyBorder="1"/>
    <xf numFmtId="168" fontId="0" fillId="4" borderId="39" xfId="0" applyNumberFormat="1" applyFill="1" applyBorder="1"/>
    <xf numFmtId="1" fontId="0" fillId="0" borderId="18" xfId="0" applyNumberFormat="1" applyBorder="1"/>
    <xf numFmtId="1" fontId="0" fillId="6" borderId="18" xfId="0" applyNumberFormat="1" applyFill="1" applyBorder="1"/>
    <xf numFmtId="0" fontId="0" fillId="0" borderId="36" xfId="0" applyBorder="1"/>
    <xf numFmtId="1" fontId="8" fillId="6" borderId="36" xfId="0" applyNumberFormat="1" applyFont="1" applyFill="1" applyBorder="1"/>
    <xf numFmtId="1" fontId="8" fillId="6" borderId="39" xfId="0" applyNumberFormat="1" applyFont="1" applyFill="1" applyBorder="1"/>
    <xf numFmtId="0" fontId="8" fillId="0" borderId="15" xfId="0" applyFont="1" applyBorder="1"/>
    <xf numFmtId="0" fontId="0" fillId="0" borderId="5" xfId="0" applyBorder="1"/>
    <xf numFmtId="165" fontId="0" fillId="3" borderId="13" xfId="0" applyNumberFormat="1" applyFill="1" applyBorder="1"/>
    <xf numFmtId="0" fontId="5" fillId="0" borderId="44" xfId="0" applyFont="1" applyBorder="1"/>
    <xf numFmtId="0" fontId="5" fillId="0" borderId="45" xfId="0" applyFont="1" applyBorder="1"/>
    <xf numFmtId="1" fontId="0" fillId="6" borderId="14" xfId="0" applyNumberFormat="1" applyFill="1" applyBorder="1"/>
    <xf numFmtId="1" fontId="0" fillId="6" borderId="16" xfId="0" applyNumberFormat="1" applyFill="1" applyBorder="1"/>
    <xf numFmtId="1" fontId="0" fillId="6" borderId="19" xfId="0" applyNumberFormat="1" applyFill="1" applyBorder="1"/>
    <xf numFmtId="0" fontId="0" fillId="0" borderId="46" xfId="0" applyBorder="1"/>
    <xf numFmtId="0" fontId="0" fillId="0" borderId="9" xfId="0" applyBorder="1"/>
    <xf numFmtId="3" fontId="20" fillId="0" borderId="12" xfId="1" applyNumberFormat="1" applyFont="1" applyBorder="1" applyAlignment="1">
      <alignment horizontal="right" vertical="center"/>
    </xf>
    <xf numFmtId="3" fontId="19" fillId="0" borderId="13" xfId="1" applyNumberFormat="1" applyFont="1" applyBorder="1" applyAlignment="1">
      <alignment horizontal="right" vertical="center"/>
    </xf>
    <xf numFmtId="3" fontId="19" fillId="0" borderId="14" xfId="1" applyNumberFormat="1" applyFont="1" applyBorder="1" applyAlignment="1">
      <alignment horizontal="right" vertical="center"/>
    </xf>
    <xf numFmtId="3" fontId="19" fillId="0" borderId="15" xfId="1" applyNumberFormat="1" applyFont="1" applyBorder="1" applyAlignment="1">
      <alignment horizontal="right" vertical="center"/>
    </xf>
    <xf numFmtId="3" fontId="20" fillId="0" borderId="0" xfId="1" applyNumberFormat="1" applyFont="1" applyBorder="1" applyAlignment="1">
      <alignment horizontal="right" vertical="center"/>
    </xf>
    <xf numFmtId="3" fontId="19" fillId="0" borderId="16" xfId="1" applyNumberFormat="1" applyFont="1" applyBorder="1" applyAlignment="1">
      <alignment horizontal="right" vertical="center"/>
    </xf>
    <xf numFmtId="3" fontId="21" fillId="0" borderId="0" xfId="1" applyNumberFormat="1" applyFont="1" applyBorder="1" applyAlignment="1">
      <alignment horizontal="right" vertical="center"/>
    </xf>
    <xf numFmtId="3" fontId="22" fillId="0" borderId="16" xfId="1" applyNumberFormat="1" applyFont="1" applyBorder="1" applyAlignment="1">
      <alignment horizontal="right" vertical="center"/>
    </xf>
    <xf numFmtId="3" fontId="22" fillId="0" borderId="17" xfId="1" applyNumberFormat="1" applyFont="1" applyBorder="1" applyAlignment="1">
      <alignment horizontal="right" vertical="center"/>
    </xf>
    <xf numFmtId="3" fontId="22" fillId="0" borderId="18" xfId="1" applyNumberFormat="1" applyFont="1" applyBorder="1" applyAlignment="1">
      <alignment horizontal="right" vertical="center"/>
    </xf>
    <xf numFmtId="3" fontId="22" fillId="0" borderId="19" xfId="1" applyNumberFormat="1" applyFont="1" applyBorder="1" applyAlignment="1">
      <alignment horizontal="right" vertical="center"/>
    </xf>
    <xf numFmtId="3" fontId="18" fillId="0" borderId="0" xfId="0" applyNumberFormat="1" applyFont="1" applyAlignment="1">
      <alignment vertical="center"/>
    </xf>
    <xf numFmtId="3" fontId="19" fillId="0" borderId="31" xfId="0" applyNumberFormat="1" applyFont="1" applyBorder="1" applyAlignment="1">
      <alignment vertical="center"/>
    </xf>
    <xf numFmtId="3" fontId="19" fillId="0" borderId="33" xfId="0" applyNumberFormat="1" applyFont="1" applyBorder="1" applyAlignment="1">
      <alignment vertical="center"/>
    </xf>
    <xf numFmtId="3" fontId="19" fillId="0" borderId="37" xfId="0" applyNumberFormat="1" applyFont="1" applyBorder="1" applyAlignment="1">
      <alignment vertical="center"/>
    </xf>
    <xf numFmtId="167" fontId="19" fillId="0" borderId="0" xfId="2" applyNumberFormat="1" applyFont="1" applyBorder="1" applyAlignment="1">
      <alignment vertical="center"/>
    </xf>
    <xf numFmtId="0" fontId="19" fillId="0" borderId="0" xfId="0" applyFont="1" applyAlignment="1">
      <alignment vertical="center"/>
    </xf>
    <xf numFmtId="0" fontId="19" fillId="0" borderId="0" xfId="0" applyFont="1" applyAlignment="1">
      <alignment horizontal="left" vertical="center"/>
    </xf>
    <xf numFmtId="0" fontId="18" fillId="0" borderId="0" xfId="0" applyFont="1" applyAlignment="1">
      <alignment vertical="center"/>
    </xf>
    <xf numFmtId="3" fontId="30" fillId="0" borderId="31" xfId="0" applyNumberFormat="1" applyFont="1" applyBorder="1" applyAlignment="1">
      <alignment vertical="center"/>
    </xf>
    <xf numFmtId="3" fontId="30" fillId="0" borderId="34" xfId="0" applyNumberFormat="1" applyFont="1" applyBorder="1" applyAlignment="1">
      <alignment vertical="center"/>
    </xf>
    <xf numFmtId="3" fontId="30" fillId="0" borderId="35" xfId="0" applyNumberFormat="1" applyFont="1" applyBorder="1" applyAlignment="1">
      <alignment vertical="center"/>
    </xf>
    <xf numFmtId="3" fontId="30" fillId="0" borderId="33" xfId="0" applyNumberFormat="1" applyFont="1" applyBorder="1" applyAlignment="1">
      <alignment vertical="center"/>
    </xf>
    <xf numFmtId="3" fontId="30" fillId="0" borderId="0" xfId="0" applyNumberFormat="1" applyFont="1" applyAlignment="1">
      <alignment vertical="center"/>
    </xf>
    <xf numFmtId="3" fontId="30" fillId="0" borderId="36" xfId="0" applyNumberFormat="1" applyFont="1" applyBorder="1" applyAlignment="1">
      <alignment vertical="center"/>
    </xf>
    <xf numFmtId="3" fontId="30" fillId="0" borderId="37" xfId="0" applyNumberFormat="1" applyFont="1" applyBorder="1" applyAlignment="1">
      <alignment vertical="center"/>
    </xf>
    <xf numFmtId="3" fontId="30" fillId="0" borderId="38" xfId="0" applyNumberFormat="1" applyFont="1" applyBorder="1" applyAlignment="1">
      <alignment vertical="center"/>
    </xf>
    <xf numFmtId="3" fontId="30" fillId="0" borderId="39" xfId="0" applyNumberFormat="1" applyFont="1" applyBorder="1" applyAlignment="1">
      <alignment vertical="center"/>
    </xf>
    <xf numFmtId="3" fontId="29" fillId="0" borderId="0" xfId="0" applyNumberFormat="1" applyFont="1" applyAlignment="1">
      <alignment vertical="center"/>
    </xf>
    <xf numFmtId="0" fontId="31" fillId="0" borderId="0" xfId="0" applyFont="1" applyAlignment="1">
      <alignment vertical="center"/>
    </xf>
    <xf numFmtId="167" fontId="19" fillId="3" borderId="13" xfId="2" applyNumberFormat="1" applyFont="1" applyFill="1" applyBorder="1" applyAlignment="1">
      <alignment vertical="center"/>
    </xf>
    <xf numFmtId="167" fontId="19" fillId="3" borderId="18" xfId="2" applyNumberFormat="1" applyFont="1" applyFill="1" applyBorder="1" applyAlignment="1">
      <alignment vertical="center"/>
    </xf>
    <xf numFmtId="167" fontId="19" fillId="3" borderId="24" xfId="2" applyNumberFormat="1" applyFont="1" applyFill="1" applyBorder="1" applyAlignment="1">
      <alignment vertical="center"/>
    </xf>
    <xf numFmtId="167" fontId="22" fillId="3" borderId="13" xfId="2" applyNumberFormat="1" applyFont="1" applyFill="1" applyBorder="1" applyAlignment="1">
      <alignment vertical="center"/>
    </xf>
    <xf numFmtId="167" fontId="22" fillId="3" borderId="0" xfId="2" applyNumberFormat="1" applyFont="1" applyFill="1" applyAlignment="1">
      <alignment vertical="center"/>
    </xf>
    <xf numFmtId="167" fontId="22" fillId="3" borderId="18" xfId="2" applyNumberFormat="1" applyFont="1" applyFill="1" applyBorder="1" applyAlignment="1">
      <alignment vertical="center"/>
    </xf>
    <xf numFmtId="0" fontId="0" fillId="0" borderId="0" xfId="0" applyAlignment="1">
      <alignment vertical="center"/>
    </xf>
    <xf numFmtId="165" fontId="0" fillId="4" borderId="0" xfId="0" applyNumberFormat="1" applyFill="1" applyAlignment="1">
      <alignment vertical="center"/>
    </xf>
    <xf numFmtId="165" fontId="0" fillId="6" borderId="0" xfId="0" applyNumberFormat="1" applyFill="1" applyAlignment="1">
      <alignment vertical="center"/>
    </xf>
    <xf numFmtId="167" fontId="19" fillId="3" borderId="0" xfId="2" applyNumberFormat="1" applyFont="1" applyFill="1" applyAlignment="1">
      <alignment vertical="center"/>
    </xf>
    <xf numFmtId="0" fontId="0" fillId="0" borderId="38" xfId="0" applyBorder="1" applyAlignment="1">
      <alignment vertical="center"/>
    </xf>
    <xf numFmtId="165" fontId="0" fillId="6" borderId="38" xfId="0" applyNumberFormat="1" applyFill="1" applyBorder="1" applyAlignment="1">
      <alignment vertical="center"/>
    </xf>
    <xf numFmtId="165" fontId="0" fillId="4" borderId="38" xfId="0" applyNumberFormat="1" applyFill="1" applyBorder="1" applyAlignment="1">
      <alignment vertical="center"/>
    </xf>
    <xf numFmtId="0" fontId="0" fillId="0" borderId="43" xfId="0" applyBorder="1" applyAlignment="1">
      <alignment vertical="center"/>
    </xf>
    <xf numFmtId="165" fontId="0" fillId="6" borderId="43" xfId="0" applyNumberFormat="1" applyFill="1" applyBorder="1" applyAlignment="1">
      <alignment vertical="center"/>
    </xf>
    <xf numFmtId="10" fontId="8" fillId="6" borderId="0" xfId="2" applyNumberFormat="1" applyFont="1" applyFill="1" applyAlignment="1">
      <alignment vertical="center"/>
    </xf>
    <xf numFmtId="0" fontId="32" fillId="0" borderId="0" xfId="0" applyFont="1" applyAlignment="1">
      <alignment vertical="center"/>
    </xf>
    <xf numFmtId="0" fontId="18" fillId="4" borderId="0" xfId="0" applyFont="1" applyFill="1" applyAlignment="1">
      <alignment vertical="center"/>
    </xf>
    <xf numFmtId="10" fontId="18" fillId="6" borderId="0" xfId="2" applyNumberFormat="1" applyFont="1" applyFill="1" applyAlignment="1">
      <alignment vertical="center"/>
    </xf>
    <xf numFmtId="164" fontId="18" fillId="0" borderId="0" xfId="0" applyNumberFormat="1" applyFont="1" applyAlignment="1">
      <alignment vertical="center"/>
    </xf>
    <xf numFmtId="165" fontId="18" fillId="6" borderId="0" xfId="0" applyNumberFormat="1" applyFont="1" applyFill="1" applyAlignment="1">
      <alignment vertical="center"/>
    </xf>
    <xf numFmtId="165" fontId="18" fillId="3" borderId="0" xfId="0" applyNumberFormat="1" applyFont="1" applyFill="1" applyAlignment="1">
      <alignment vertical="center"/>
    </xf>
    <xf numFmtId="9" fontId="18" fillId="3" borderId="0" xfId="0" applyNumberFormat="1" applyFont="1" applyFill="1" applyAlignment="1">
      <alignment vertical="center"/>
    </xf>
    <xf numFmtId="3" fontId="18" fillId="4" borderId="31" xfId="0" applyNumberFormat="1" applyFont="1" applyFill="1" applyBorder="1" applyAlignment="1">
      <alignment vertical="center"/>
    </xf>
    <xf numFmtId="3" fontId="18" fillId="4" borderId="34" xfId="0" applyNumberFormat="1" applyFont="1" applyFill="1" applyBorder="1" applyAlignment="1">
      <alignment vertical="center"/>
    </xf>
    <xf numFmtId="3" fontId="18" fillId="6" borderId="34" xfId="0" applyNumberFormat="1" applyFont="1" applyFill="1" applyBorder="1" applyAlignment="1">
      <alignment vertical="center"/>
    </xf>
    <xf numFmtId="3" fontId="18" fillId="6" borderId="35" xfId="0" applyNumberFormat="1" applyFont="1" applyFill="1" applyBorder="1" applyAlignment="1">
      <alignment vertical="center"/>
    </xf>
    <xf numFmtId="3" fontId="18" fillId="4" borderId="33" xfId="0" applyNumberFormat="1" applyFont="1" applyFill="1" applyBorder="1" applyAlignment="1">
      <alignment vertical="center"/>
    </xf>
    <xf numFmtId="3" fontId="18" fillId="4" borderId="0" xfId="0" applyNumberFormat="1" applyFont="1" applyFill="1" applyAlignment="1">
      <alignment vertical="center"/>
    </xf>
    <xf numFmtId="3" fontId="18" fillId="6" borderId="0" xfId="0" applyNumberFormat="1" applyFont="1" applyFill="1" applyAlignment="1">
      <alignment vertical="center"/>
    </xf>
    <xf numFmtId="3" fontId="18" fillId="6" borderId="36" xfId="0" applyNumberFormat="1" applyFont="1" applyFill="1" applyBorder="1" applyAlignment="1">
      <alignment vertical="center"/>
    </xf>
    <xf numFmtId="3" fontId="18" fillId="0" borderId="37" xfId="0" applyNumberFormat="1" applyFont="1" applyBorder="1" applyAlignment="1">
      <alignment vertical="center"/>
    </xf>
    <xf numFmtId="3" fontId="18" fillId="0" borderId="38" xfId="0" applyNumberFormat="1" applyFont="1" applyBorder="1" applyAlignment="1">
      <alignment vertical="center"/>
    </xf>
    <xf numFmtId="3" fontId="18" fillId="0" borderId="39" xfId="0" applyNumberFormat="1" applyFont="1" applyBorder="1" applyAlignment="1">
      <alignment vertical="center"/>
    </xf>
    <xf numFmtId="3" fontId="18" fillId="6" borderId="31" xfId="0" applyNumberFormat="1" applyFont="1" applyFill="1" applyBorder="1" applyAlignment="1">
      <alignment vertical="center"/>
    </xf>
    <xf numFmtId="3" fontId="18" fillId="0" borderId="35" xfId="0" applyNumberFormat="1" applyFont="1" applyBorder="1" applyAlignment="1">
      <alignment vertical="center"/>
    </xf>
    <xf numFmtId="3" fontId="18" fillId="6" borderId="33" xfId="0" applyNumberFormat="1" applyFont="1" applyFill="1" applyBorder="1" applyAlignment="1">
      <alignment vertical="center"/>
    </xf>
    <xf numFmtId="3" fontId="18" fillId="0" borderId="36" xfId="0" applyNumberFormat="1" applyFont="1" applyBorder="1" applyAlignment="1">
      <alignment vertical="center"/>
    </xf>
    <xf numFmtId="165" fontId="18" fillId="4" borderId="0" xfId="0" applyNumberFormat="1" applyFont="1" applyFill="1" applyAlignment="1">
      <alignment vertical="center"/>
    </xf>
    <xf numFmtId="1" fontId="33" fillId="6" borderId="33" xfId="0" applyNumberFormat="1" applyFont="1" applyFill="1" applyBorder="1" applyAlignment="1">
      <alignment vertical="center"/>
    </xf>
    <xf numFmtId="1" fontId="33" fillId="6" borderId="0" xfId="0" applyNumberFormat="1" applyFont="1" applyFill="1" applyAlignment="1">
      <alignment vertical="center"/>
    </xf>
    <xf numFmtId="1" fontId="33" fillId="6" borderId="36" xfId="0" applyNumberFormat="1" applyFont="1" applyFill="1" applyBorder="1" applyAlignment="1">
      <alignment vertical="center"/>
    </xf>
    <xf numFmtId="167" fontId="33" fillId="6" borderId="37" xfId="2" applyNumberFormat="1" applyFont="1" applyFill="1" applyBorder="1" applyAlignment="1">
      <alignment vertical="center"/>
    </xf>
    <xf numFmtId="167" fontId="33" fillId="6" borderId="38" xfId="2" applyNumberFormat="1" applyFont="1" applyFill="1" applyBorder="1" applyAlignment="1">
      <alignment vertical="center"/>
    </xf>
    <xf numFmtId="167" fontId="33" fillId="6" borderId="39" xfId="2" applyNumberFormat="1" applyFont="1" applyFill="1" applyBorder="1" applyAlignment="1">
      <alignment vertical="center"/>
    </xf>
    <xf numFmtId="167" fontId="19" fillId="0" borderId="35" xfId="2" applyNumberFormat="1" applyFont="1" applyBorder="1" applyAlignment="1">
      <alignment vertical="center"/>
    </xf>
    <xf numFmtId="167" fontId="19" fillId="0" borderId="36" xfId="2" applyNumberFormat="1" applyFont="1" applyBorder="1" applyAlignment="1">
      <alignment vertical="center"/>
    </xf>
    <xf numFmtId="167" fontId="19" fillId="0" borderId="39" xfId="2" applyNumberFormat="1" applyFont="1" applyBorder="1" applyAlignment="1">
      <alignment vertical="center"/>
    </xf>
    <xf numFmtId="165" fontId="0" fillId="8" borderId="0" xfId="0" applyNumberFormat="1" applyFill="1"/>
    <xf numFmtId="165" fontId="0" fillId="8" borderId="18" xfId="0" applyNumberFormat="1" applyFill="1" applyBorder="1"/>
    <xf numFmtId="166" fontId="0" fillId="3" borderId="0" xfId="1" applyNumberFormat="1" applyFont="1" applyFill="1" applyBorder="1"/>
    <xf numFmtId="166" fontId="0" fillId="6" borderId="34" xfId="0" applyNumberFormat="1" applyFill="1" applyBorder="1"/>
    <xf numFmtId="166" fontId="0" fillId="6" borderId="0" xfId="1" applyNumberFormat="1" applyFont="1" applyFill="1" applyBorder="1"/>
    <xf numFmtId="1" fontId="8" fillId="6" borderId="1" xfId="0" applyNumberFormat="1" applyFont="1" applyFill="1" applyBorder="1"/>
    <xf numFmtId="9" fontId="0" fillId="0" borderId="0" xfId="0" applyNumberFormat="1"/>
    <xf numFmtId="10" fontId="0" fillId="0" borderId="0" xfId="0" applyNumberFormat="1"/>
    <xf numFmtId="0" fontId="8" fillId="0" borderId="34" xfId="0" applyFont="1" applyBorder="1"/>
    <xf numFmtId="166" fontId="10" fillId="6" borderId="38" xfId="1" applyNumberFormat="1" applyFont="1" applyFill="1" applyBorder="1"/>
    <xf numFmtId="167" fontId="0" fillId="6" borderId="14" xfId="0" applyNumberFormat="1" applyFill="1" applyBorder="1"/>
    <xf numFmtId="167" fontId="0" fillId="0" borderId="0" xfId="0" applyNumberFormat="1"/>
    <xf numFmtId="167" fontId="0" fillId="6" borderId="16" xfId="0" applyNumberFormat="1" applyFill="1" applyBorder="1"/>
    <xf numFmtId="167" fontId="0" fillId="6" borderId="0" xfId="0" applyNumberFormat="1" applyFill="1"/>
    <xf numFmtId="167" fontId="0" fillId="4" borderId="14" xfId="0" applyNumberFormat="1" applyFill="1" applyBorder="1"/>
    <xf numFmtId="165" fontId="15" fillId="4" borderId="35" xfId="0" applyNumberFormat="1" applyFont="1" applyFill="1" applyBorder="1"/>
    <xf numFmtId="165" fontId="15" fillId="4" borderId="36" xfId="0" applyNumberFormat="1" applyFont="1" applyFill="1" applyBorder="1"/>
    <xf numFmtId="167" fontId="16" fillId="3" borderId="16" xfId="2" applyNumberFormat="1" applyFont="1" applyFill="1" applyBorder="1"/>
    <xf numFmtId="167" fontId="16" fillId="3" borderId="19" xfId="2" applyNumberFormat="1" applyFont="1" applyFill="1" applyBorder="1"/>
    <xf numFmtId="0" fontId="18" fillId="0" borderId="12" xfId="0" applyFont="1" applyBorder="1" applyAlignment="1">
      <alignment vertical="center"/>
    </xf>
    <xf numFmtId="0" fontId="18" fillId="0" borderId="13" xfId="0" applyFont="1" applyBorder="1" applyAlignment="1">
      <alignment vertical="center"/>
    </xf>
    <xf numFmtId="0" fontId="18" fillId="0" borderId="14" xfId="0" applyFont="1" applyBorder="1" applyAlignment="1">
      <alignment vertical="center"/>
    </xf>
    <xf numFmtId="0" fontId="18" fillId="0" borderId="47" xfId="0" applyFont="1" applyBorder="1" applyAlignment="1">
      <alignment vertical="center"/>
    </xf>
    <xf numFmtId="165" fontId="18" fillId="4" borderId="13" xfId="0" applyNumberFormat="1" applyFont="1" applyFill="1" applyBorder="1" applyAlignment="1">
      <alignment vertical="center"/>
    </xf>
    <xf numFmtId="165" fontId="18" fillId="6" borderId="13" xfId="0" applyNumberFormat="1" applyFont="1" applyFill="1" applyBorder="1" applyAlignment="1">
      <alignment vertical="center"/>
    </xf>
    <xf numFmtId="167" fontId="18" fillId="0" borderId="13" xfId="2" applyNumberFormat="1" applyFont="1" applyFill="1" applyBorder="1" applyAlignment="1">
      <alignment vertical="center"/>
    </xf>
    <xf numFmtId="165" fontId="34" fillId="6" borderId="13" xfId="0" applyNumberFormat="1" applyFont="1" applyFill="1" applyBorder="1" applyAlignment="1">
      <alignment vertical="center"/>
    </xf>
    <xf numFmtId="165" fontId="18" fillId="7" borderId="13" xfId="0" applyNumberFormat="1" applyFont="1" applyFill="1" applyBorder="1" applyAlignment="1">
      <alignment vertical="center"/>
    </xf>
    <xf numFmtId="165" fontId="18" fillId="6" borderId="14" xfId="0" applyNumberFormat="1" applyFont="1" applyFill="1" applyBorder="1" applyAlignment="1">
      <alignment vertical="center"/>
    </xf>
    <xf numFmtId="0" fontId="18" fillId="0" borderId="17" xfId="0" applyFont="1" applyBorder="1" applyAlignment="1">
      <alignment vertical="center"/>
    </xf>
    <xf numFmtId="0" fontId="18" fillId="0" borderId="18" xfId="0" applyFont="1" applyBorder="1" applyAlignment="1">
      <alignment vertical="center"/>
    </xf>
    <xf numFmtId="0" fontId="18" fillId="0" borderId="19" xfId="0" applyFont="1" applyBorder="1" applyAlignment="1">
      <alignment vertical="center"/>
    </xf>
    <xf numFmtId="0" fontId="18" fillId="0" borderId="48" xfId="0" applyFont="1" applyBorder="1" applyAlignment="1">
      <alignment vertical="center"/>
    </xf>
    <xf numFmtId="165" fontId="18" fillId="4" borderId="18" xfId="0" applyNumberFormat="1" applyFont="1" applyFill="1" applyBorder="1" applyAlignment="1">
      <alignment vertical="center"/>
    </xf>
    <xf numFmtId="165" fontId="18" fillId="6" borderId="18" xfId="0" applyNumberFormat="1" applyFont="1" applyFill="1" applyBorder="1" applyAlignment="1">
      <alignment vertical="center"/>
    </xf>
    <xf numFmtId="167" fontId="18" fillId="0" borderId="18" xfId="2" applyNumberFormat="1" applyFont="1" applyFill="1" applyBorder="1" applyAlignment="1">
      <alignment vertical="center"/>
    </xf>
    <xf numFmtId="165" fontId="34" fillId="6" borderId="18" xfId="0" applyNumberFormat="1" applyFont="1" applyFill="1" applyBorder="1" applyAlignment="1">
      <alignment vertical="center"/>
    </xf>
    <xf numFmtId="165" fontId="18" fillId="0" borderId="0" xfId="0" applyNumberFormat="1" applyFont="1" applyAlignment="1">
      <alignment vertical="center"/>
    </xf>
    <xf numFmtId="165" fontId="18" fillId="6" borderId="19" xfId="0" applyNumberFormat="1" applyFont="1" applyFill="1" applyBorder="1" applyAlignment="1">
      <alignment vertical="center"/>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8" fillId="0" borderId="49" xfId="0" quotePrefix="1" applyFont="1" applyBorder="1" applyAlignment="1">
      <alignment vertical="center"/>
    </xf>
    <xf numFmtId="165" fontId="18" fillId="6" borderId="24" xfId="0" applyNumberFormat="1" applyFont="1" applyFill="1" applyBorder="1" applyAlignment="1">
      <alignment vertical="center"/>
    </xf>
    <xf numFmtId="165" fontId="18" fillId="4" borderId="24" xfId="0" applyNumberFormat="1" applyFont="1" applyFill="1" applyBorder="1" applyAlignment="1">
      <alignment vertical="center"/>
    </xf>
    <xf numFmtId="167" fontId="18" fillId="6" borderId="24" xfId="2" applyNumberFormat="1" applyFont="1" applyFill="1" applyBorder="1" applyAlignment="1">
      <alignment vertical="center"/>
    </xf>
    <xf numFmtId="165" fontId="34" fillId="6" borderId="24" xfId="0" applyNumberFormat="1" applyFont="1" applyFill="1" applyBorder="1" applyAlignment="1">
      <alignment vertical="center"/>
    </xf>
    <xf numFmtId="165" fontId="18" fillId="7" borderId="24" xfId="0" applyNumberFormat="1" applyFont="1" applyFill="1" applyBorder="1" applyAlignment="1">
      <alignment vertical="center"/>
    </xf>
    <xf numFmtId="165" fontId="18" fillId="6" borderId="25" xfId="0" applyNumberFormat="1" applyFont="1" applyFill="1" applyBorder="1" applyAlignment="1">
      <alignment vertical="center"/>
    </xf>
    <xf numFmtId="165" fontId="18" fillId="7" borderId="18" xfId="0" applyNumberFormat="1" applyFont="1" applyFill="1" applyBorder="1" applyAlignment="1">
      <alignment vertical="center"/>
    </xf>
    <xf numFmtId="165" fontId="18" fillId="0" borderId="13" xfId="0" applyNumberFormat="1" applyFont="1" applyBorder="1" applyAlignment="1">
      <alignment vertical="center"/>
    </xf>
    <xf numFmtId="0" fontId="18" fillId="0" borderId="15" xfId="0" applyFont="1" applyBorder="1" applyAlignment="1">
      <alignment vertical="center"/>
    </xf>
    <xf numFmtId="0" fontId="18" fillId="0" borderId="16" xfId="0" applyFont="1" applyBorder="1" applyAlignment="1">
      <alignment vertical="center"/>
    </xf>
    <xf numFmtId="0" fontId="18" fillId="0" borderId="26" xfId="0" applyFont="1" applyBorder="1" applyAlignment="1">
      <alignment vertical="center"/>
    </xf>
    <xf numFmtId="167" fontId="18" fillId="0" borderId="0" xfId="2" applyNumberFormat="1" applyFont="1" applyFill="1" applyBorder="1" applyAlignment="1">
      <alignment vertical="center"/>
    </xf>
    <xf numFmtId="165" fontId="34" fillId="6" borderId="0" xfId="0" applyNumberFormat="1" applyFont="1" applyFill="1" applyAlignment="1">
      <alignment vertical="center"/>
    </xf>
    <xf numFmtId="165" fontId="18" fillId="6" borderId="16" xfId="0" applyNumberFormat="1" applyFont="1" applyFill="1" applyBorder="1" applyAlignment="1">
      <alignment vertical="center"/>
    </xf>
    <xf numFmtId="165" fontId="18" fillId="0" borderId="18" xfId="0" applyNumberFormat="1" applyFont="1" applyBorder="1" applyAlignment="1">
      <alignment vertical="center"/>
    </xf>
    <xf numFmtId="0" fontId="18" fillId="0" borderId="50" xfId="0" applyFont="1" applyBorder="1" applyAlignment="1">
      <alignment vertical="center"/>
    </xf>
    <xf numFmtId="0" fontId="18" fillId="4" borderId="13" xfId="0" applyFont="1" applyFill="1" applyBorder="1" applyAlignment="1">
      <alignment vertical="center"/>
    </xf>
    <xf numFmtId="0" fontId="18" fillId="6" borderId="13" xfId="0" applyFont="1" applyFill="1" applyBorder="1" applyAlignment="1">
      <alignment vertical="center"/>
    </xf>
    <xf numFmtId="0" fontId="18" fillId="0" borderId="27" xfId="0" applyFont="1" applyBorder="1" applyAlignment="1">
      <alignment vertical="center"/>
    </xf>
    <xf numFmtId="0" fontId="18" fillId="6" borderId="0" xfId="0" applyFont="1" applyFill="1" applyAlignment="1">
      <alignment vertical="center"/>
    </xf>
    <xf numFmtId="0" fontId="18" fillId="0" borderId="51" xfId="0" applyFont="1" applyBorder="1" applyAlignment="1">
      <alignment vertical="center"/>
    </xf>
    <xf numFmtId="0" fontId="18" fillId="4" borderId="18" xfId="0" applyFont="1" applyFill="1" applyBorder="1" applyAlignment="1">
      <alignment vertical="center"/>
    </xf>
    <xf numFmtId="0" fontId="18" fillId="6" borderId="18" xfId="0" applyFont="1" applyFill="1" applyBorder="1" applyAlignment="1">
      <alignment vertical="center"/>
    </xf>
    <xf numFmtId="167" fontId="18" fillId="0" borderId="0" xfId="2" applyNumberFormat="1" applyFont="1" applyFill="1" applyAlignment="1">
      <alignment vertical="center"/>
    </xf>
    <xf numFmtId="0" fontId="18" fillId="0" borderId="28" xfId="0" applyFont="1" applyBorder="1" applyAlignment="1">
      <alignment vertical="center"/>
    </xf>
    <xf numFmtId="10" fontId="18" fillId="6" borderId="0" xfId="0" applyNumberFormat="1" applyFont="1" applyFill="1" applyAlignment="1">
      <alignment vertical="center"/>
    </xf>
    <xf numFmtId="0" fontId="33" fillId="0" borderId="0" xfId="0" applyFont="1" applyAlignment="1">
      <alignment vertical="center"/>
    </xf>
    <xf numFmtId="3" fontId="18" fillId="0" borderId="31" xfId="0" applyNumberFormat="1" applyFont="1" applyBorder="1" applyAlignment="1">
      <alignment vertical="center"/>
    </xf>
    <xf numFmtId="3" fontId="18" fillId="0" borderId="34" xfId="0" applyNumberFormat="1" applyFont="1" applyBorder="1" applyAlignment="1">
      <alignment vertical="center"/>
    </xf>
    <xf numFmtId="10" fontId="18" fillId="3" borderId="0" xfId="2" applyNumberFormat="1" applyFont="1" applyFill="1" applyAlignment="1">
      <alignment vertical="center"/>
    </xf>
    <xf numFmtId="0" fontId="18" fillId="0" borderId="34" xfId="0" applyFont="1" applyBorder="1" applyAlignment="1">
      <alignment vertical="center"/>
    </xf>
    <xf numFmtId="165" fontId="33" fillId="6" borderId="34" xfId="0" applyNumberFormat="1" applyFont="1" applyFill="1" applyBorder="1" applyAlignment="1">
      <alignment vertical="center"/>
    </xf>
    <xf numFmtId="165" fontId="33" fillId="0" borderId="0" xfId="0" applyNumberFormat="1" applyFont="1" applyAlignment="1">
      <alignment vertical="center"/>
    </xf>
    <xf numFmtId="0" fontId="35" fillId="0" borderId="0" xfId="0" applyFont="1" applyAlignment="1">
      <alignment vertical="center"/>
    </xf>
    <xf numFmtId="0" fontId="37" fillId="0" borderId="0" xfId="0" applyFont="1" applyAlignment="1">
      <alignment vertical="center"/>
    </xf>
    <xf numFmtId="3" fontId="36" fillId="0" borderId="0" xfId="0" applyNumberFormat="1" applyFont="1" applyAlignment="1">
      <alignment vertical="center"/>
    </xf>
    <xf numFmtId="10" fontId="29" fillId="6" borderId="0" xfId="2" applyNumberFormat="1" applyFont="1" applyFill="1" applyAlignment="1">
      <alignment vertical="center"/>
    </xf>
    <xf numFmtId="0" fontId="38" fillId="0" borderId="0" xfId="0" applyFont="1" applyAlignment="1">
      <alignment vertical="center"/>
    </xf>
    <xf numFmtId="3" fontId="38" fillId="6" borderId="34" xfId="0" applyNumberFormat="1" applyFont="1" applyFill="1" applyBorder="1" applyAlignment="1">
      <alignment vertical="center"/>
    </xf>
    <xf numFmtId="3" fontId="38" fillId="6" borderId="0" xfId="0" applyNumberFormat="1" applyFont="1" applyFill="1" applyAlignment="1">
      <alignment vertical="center"/>
    </xf>
    <xf numFmtId="3" fontId="38" fillId="0" borderId="38" xfId="0" applyNumberFormat="1" applyFont="1" applyBorder="1" applyAlignment="1">
      <alignment vertical="center"/>
    </xf>
    <xf numFmtId="3" fontId="19" fillId="0" borderId="39" xfId="0" applyNumberFormat="1" applyFont="1" applyBorder="1" applyAlignment="1">
      <alignment vertical="center"/>
    </xf>
    <xf numFmtId="3" fontId="19" fillId="0" borderId="35" xfId="0" applyNumberFormat="1" applyFont="1" applyBorder="1" applyAlignment="1">
      <alignment vertical="center"/>
    </xf>
    <xf numFmtId="3" fontId="19" fillId="0" borderId="36" xfId="0" applyNumberFormat="1" applyFont="1" applyBorder="1" applyAlignment="1">
      <alignment vertical="center"/>
    </xf>
    <xf numFmtId="1" fontId="18" fillId="0" borderId="0" xfId="0" applyNumberFormat="1" applyFont="1" applyAlignment="1">
      <alignment vertical="center"/>
    </xf>
    <xf numFmtId="3" fontId="18" fillId="5" borderId="39" xfId="0" applyNumberFormat="1" applyFont="1" applyFill="1" applyBorder="1" applyAlignment="1">
      <alignment horizontal="center" vertical="center"/>
    </xf>
    <xf numFmtId="0" fontId="18" fillId="5" borderId="0" xfId="0" applyFont="1" applyFill="1" applyAlignment="1">
      <alignment horizontal="center" vertical="center"/>
    </xf>
    <xf numFmtId="3" fontId="18" fillId="0" borderId="52" xfId="0" applyNumberFormat="1" applyFont="1" applyBorder="1" applyAlignment="1">
      <alignment horizontal="center" vertical="center"/>
    </xf>
    <xf numFmtId="3" fontId="18" fillId="0" borderId="53" xfId="0" applyNumberFormat="1" applyFont="1" applyBorder="1" applyAlignment="1">
      <alignment horizontal="center" vertical="center"/>
    </xf>
    <xf numFmtId="3" fontId="18" fillId="0" borderId="54" xfId="0" applyNumberFormat="1" applyFont="1" applyBorder="1" applyAlignment="1">
      <alignment horizontal="center" vertical="center"/>
    </xf>
    <xf numFmtId="0" fontId="39" fillId="0" borderId="0" xfId="0" applyFont="1" applyAlignment="1">
      <alignment horizontal="left" vertical="center"/>
    </xf>
    <xf numFmtId="3" fontId="39" fillId="0" borderId="0" xfId="0" applyNumberFormat="1" applyFont="1" applyAlignment="1">
      <alignment vertical="center"/>
    </xf>
    <xf numFmtId="3" fontId="40" fillId="0" borderId="34" xfId="0" applyNumberFormat="1" applyFont="1" applyBorder="1" applyAlignment="1">
      <alignment horizontal="right" vertical="center"/>
    </xf>
    <xf numFmtId="3" fontId="40" fillId="0" borderId="35" xfId="0" applyNumberFormat="1" applyFont="1" applyBorder="1" applyAlignment="1">
      <alignment horizontal="right" vertical="center"/>
    </xf>
    <xf numFmtId="3" fontId="40" fillId="0" borderId="36" xfId="0" applyNumberFormat="1" applyFont="1" applyBorder="1" applyAlignment="1">
      <alignment horizontal="right" vertical="center"/>
    </xf>
    <xf numFmtId="3" fontId="40" fillId="0" borderId="38" xfId="0" applyNumberFormat="1" applyFont="1" applyBorder="1" applyAlignment="1">
      <alignment horizontal="right" vertical="center"/>
    </xf>
    <xf numFmtId="3" fontId="40" fillId="0" borderId="39" xfId="0" applyNumberFormat="1" applyFont="1" applyBorder="1" applyAlignment="1">
      <alignment horizontal="right" vertical="center"/>
    </xf>
    <xf numFmtId="165" fontId="18" fillId="0" borderId="24" xfId="0" applyNumberFormat="1" applyFont="1" applyBorder="1" applyAlignment="1">
      <alignment vertical="center"/>
    </xf>
    <xf numFmtId="1" fontId="19" fillId="0" borderId="31" xfId="0" applyNumberFormat="1" applyFont="1" applyBorder="1" applyAlignment="1">
      <alignment vertical="center"/>
    </xf>
    <xf numFmtId="1" fontId="19" fillId="0" borderId="35" xfId="0" applyNumberFormat="1" applyFont="1" applyBorder="1" applyAlignment="1">
      <alignment vertical="center"/>
    </xf>
    <xf numFmtId="1" fontId="19" fillId="0" borderId="33" xfId="0" applyNumberFormat="1" applyFont="1" applyBorder="1" applyAlignment="1">
      <alignment vertical="center"/>
    </xf>
    <xf numFmtId="1" fontId="19" fillId="0" borderId="36" xfId="0" applyNumberFormat="1" applyFont="1" applyBorder="1" applyAlignment="1">
      <alignment vertical="center"/>
    </xf>
    <xf numFmtId="1" fontId="19" fillId="0" borderId="37" xfId="0" applyNumberFormat="1" applyFont="1" applyBorder="1" applyAlignment="1">
      <alignment vertical="center"/>
    </xf>
    <xf numFmtId="1" fontId="19" fillId="0" borderId="39" xfId="0" applyNumberFormat="1" applyFont="1" applyBorder="1" applyAlignment="1">
      <alignment vertical="center"/>
    </xf>
    <xf numFmtId="165" fontId="4" fillId="4" borderId="35" xfId="2" applyNumberFormat="1" applyFont="1" applyFill="1" applyBorder="1"/>
    <xf numFmtId="165" fontId="4" fillId="4" borderId="36" xfId="2" applyNumberFormat="1" applyFont="1" applyFill="1" applyBorder="1"/>
    <xf numFmtId="165" fontId="4" fillId="4" borderId="39" xfId="2" applyNumberFormat="1" applyFont="1" applyFill="1" applyBorder="1"/>
    <xf numFmtId="165" fontId="4" fillId="4" borderId="11" xfId="2" applyNumberFormat="1" applyFont="1" applyFill="1" applyBorder="1"/>
    <xf numFmtId="165" fontId="4" fillId="4" borderId="41" xfId="2" applyNumberFormat="1" applyFont="1" applyFill="1" applyBorder="1"/>
    <xf numFmtId="165" fontId="4" fillId="4" borderId="42" xfId="2" applyNumberFormat="1" applyFont="1" applyFill="1" applyBorder="1"/>
    <xf numFmtId="165" fontId="19" fillId="0" borderId="35" xfId="0" applyNumberFormat="1" applyFont="1" applyBorder="1" applyAlignment="1">
      <alignment vertical="center"/>
    </xf>
    <xf numFmtId="165" fontId="19" fillId="0" borderId="36" xfId="0" applyNumberFormat="1" applyFont="1" applyBorder="1" applyAlignment="1">
      <alignment vertical="center"/>
    </xf>
    <xf numFmtId="165" fontId="19" fillId="0" borderId="39" xfId="0" applyNumberFormat="1" applyFont="1" applyBorder="1" applyAlignment="1">
      <alignment vertical="center"/>
    </xf>
    <xf numFmtId="3" fontId="19" fillId="0" borderId="0" xfId="0" applyNumberFormat="1" applyFont="1" applyAlignment="1">
      <alignment vertical="center"/>
    </xf>
    <xf numFmtId="1" fontId="19" fillId="0" borderId="0" xfId="0" applyNumberFormat="1" applyFont="1" applyAlignment="1">
      <alignment vertical="center"/>
    </xf>
    <xf numFmtId="167" fontId="16" fillId="6" borderId="16" xfId="2" applyNumberFormat="1" applyFont="1" applyFill="1" applyBorder="1"/>
    <xf numFmtId="167" fontId="16" fillId="6" borderId="19" xfId="2" applyNumberFormat="1" applyFont="1" applyFill="1" applyBorder="1"/>
    <xf numFmtId="167" fontId="23" fillId="4" borderId="35" xfId="2" applyNumberFormat="1" applyFont="1" applyFill="1" applyBorder="1"/>
    <xf numFmtId="167" fontId="0" fillId="4" borderId="36" xfId="2" applyNumberFormat="1" applyFont="1" applyFill="1" applyBorder="1"/>
    <xf numFmtId="167" fontId="23" fillId="4" borderId="36" xfId="2" applyNumberFormat="1" applyFont="1" applyFill="1" applyBorder="1"/>
    <xf numFmtId="167" fontId="23" fillId="4" borderId="39" xfId="2" applyNumberFormat="1" applyFont="1" applyFill="1" applyBorder="1"/>
    <xf numFmtId="167" fontId="16" fillId="4" borderId="19" xfId="2" applyNumberFormat="1" applyFont="1" applyFill="1" applyBorder="1"/>
    <xf numFmtId="167" fontId="21" fillId="3" borderId="0" xfId="2" applyNumberFormat="1" applyFont="1" applyFill="1" applyAlignment="1">
      <alignment vertical="center"/>
    </xf>
    <xf numFmtId="3" fontId="40" fillId="0" borderId="0" xfId="0" applyNumberFormat="1" applyFont="1" applyAlignment="1">
      <alignment horizontal="right" vertical="center"/>
    </xf>
    <xf numFmtId="169" fontId="40" fillId="0" borderId="0" xfId="0" applyNumberFormat="1" applyFont="1" applyAlignment="1">
      <alignment horizontal="right" vertical="center"/>
    </xf>
    <xf numFmtId="3" fontId="21" fillId="0" borderId="31" xfId="0" applyNumberFormat="1" applyFont="1" applyBorder="1" applyAlignment="1">
      <alignment horizontal="right" vertical="center"/>
    </xf>
    <xf numFmtId="3" fontId="21" fillId="0" borderId="34" xfId="0" applyNumberFormat="1" applyFont="1" applyBorder="1" applyAlignment="1">
      <alignment horizontal="right" vertical="center"/>
    </xf>
    <xf numFmtId="3" fontId="21" fillId="0" borderId="35" xfId="0" applyNumberFormat="1" applyFont="1" applyBorder="1" applyAlignment="1">
      <alignment horizontal="right" vertical="center"/>
    </xf>
    <xf numFmtId="3" fontId="21" fillId="0" borderId="33" xfId="0" applyNumberFormat="1" applyFont="1" applyBorder="1" applyAlignment="1">
      <alignment horizontal="right" vertical="center"/>
    </xf>
    <xf numFmtId="3" fontId="21" fillId="0" borderId="0" xfId="0" applyNumberFormat="1" applyFont="1" applyAlignment="1">
      <alignment horizontal="right" vertical="center"/>
    </xf>
    <xf numFmtId="3" fontId="21" fillId="0" borderId="36" xfId="0" applyNumberFormat="1" applyFont="1" applyBorder="1" applyAlignment="1">
      <alignment horizontal="right" vertical="center"/>
    </xf>
    <xf numFmtId="3" fontId="21" fillId="0" borderId="37" xfId="0" applyNumberFormat="1" applyFont="1" applyBorder="1" applyAlignment="1">
      <alignment horizontal="right" vertical="center"/>
    </xf>
    <xf numFmtId="3" fontId="21" fillId="0" borderId="38" xfId="0" applyNumberFormat="1" applyFont="1" applyBorder="1" applyAlignment="1">
      <alignment horizontal="right" vertical="center"/>
    </xf>
    <xf numFmtId="3" fontId="21" fillId="0" borderId="39" xfId="0" applyNumberFormat="1" applyFont="1" applyBorder="1" applyAlignment="1">
      <alignment horizontal="right" vertical="center"/>
    </xf>
    <xf numFmtId="166" fontId="19" fillId="0" borderId="0" xfId="1" applyNumberFormat="1" applyFont="1" applyBorder="1" applyAlignment="1">
      <alignment vertical="center"/>
    </xf>
    <xf numFmtId="166" fontId="19" fillId="0" borderId="0" xfId="0" applyNumberFormat="1" applyFont="1" applyAlignment="1">
      <alignment vertical="center"/>
    </xf>
    <xf numFmtId="43" fontId="18" fillId="0" borderId="0" xfId="0" applyNumberFormat="1" applyFont="1" applyAlignment="1">
      <alignment vertical="center"/>
    </xf>
    <xf numFmtId="166" fontId="18" fillId="0" borderId="0" xfId="0" applyNumberFormat="1" applyFont="1" applyAlignment="1">
      <alignment vertical="center"/>
    </xf>
    <xf numFmtId="165" fontId="19" fillId="0" borderId="0" xfId="0" applyNumberFormat="1" applyFont="1" applyAlignment="1">
      <alignment vertical="center"/>
    </xf>
    <xf numFmtId="165" fontId="19" fillId="0" borderId="34" xfId="0" applyNumberFormat="1" applyFont="1" applyBorder="1" applyAlignment="1">
      <alignment vertical="center"/>
    </xf>
    <xf numFmtId="165" fontId="19" fillId="0" borderId="38" xfId="0" applyNumberFormat="1" applyFont="1" applyBorder="1" applyAlignment="1">
      <alignment vertical="center"/>
    </xf>
    <xf numFmtId="165" fontId="19" fillId="0" borderId="31" xfId="2" applyNumberFormat="1" applyFont="1" applyBorder="1" applyAlignment="1">
      <alignment vertical="center"/>
    </xf>
    <xf numFmtId="165" fontId="19" fillId="0" borderId="33" xfId="2" applyNumberFormat="1" applyFont="1" applyBorder="1" applyAlignment="1">
      <alignment vertical="center"/>
    </xf>
    <xf numFmtId="165" fontId="19" fillId="0" borderId="37" xfId="2" applyNumberFormat="1" applyFont="1" applyBorder="1" applyAlignment="1">
      <alignment vertical="center"/>
    </xf>
    <xf numFmtId="3" fontId="19" fillId="0" borderId="11" xfId="0" applyNumberFormat="1" applyFont="1" applyBorder="1" applyAlignment="1">
      <alignment vertical="center"/>
    </xf>
    <xf numFmtId="3" fontId="19" fillId="0" borderId="41" xfId="0" applyNumberFormat="1" applyFont="1" applyBorder="1" applyAlignment="1">
      <alignment vertical="center"/>
    </xf>
    <xf numFmtId="3" fontId="19" fillId="0" borderId="42" xfId="0" applyNumberFormat="1" applyFont="1" applyBorder="1" applyAlignment="1">
      <alignment vertical="center"/>
    </xf>
    <xf numFmtId="167" fontId="0" fillId="6" borderId="19" xfId="0" applyNumberFormat="1" applyFill="1" applyBorder="1"/>
    <xf numFmtId="165" fontId="8" fillId="4" borderId="0" xfId="0" applyNumberFormat="1" applyFont="1" applyFill="1"/>
    <xf numFmtId="3" fontId="18" fillId="0" borderId="33" xfId="0" applyNumberFormat="1" applyFont="1" applyBorder="1" applyAlignment="1">
      <alignment vertical="center"/>
    </xf>
    <xf numFmtId="0" fontId="41" fillId="0" borderId="0" xfId="0" applyFont="1"/>
    <xf numFmtId="166" fontId="19" fillId="0" borderId="31" xfId="0" applyNumberFormat="1" applyFont="1" applyBorder="1" applyAlignment="1">
      <alignment vertical="center"/>
    </xf>
    <xf numFmtId="166" fontId="19" fillId="0" borderId="33" xfId="0" applyNumberFormat="1" applyFont="1" applyBorder="1" applyAlignment="1">
      <alignment vertical="center"/>
    </xf>
    <xf numFmtId="166" fontId="42" fillId="0" borderId="37" xfId="0" applyNumberFormat="1" applyFont="1" applyBorder="1" applyAlignment="1">
      <alignment horizontal="left" vertical="center"/>
    </xf>
    <xf numFmtId="3" fontId="42" fillId="0" borderId="39" xfId="0" applyNumberFormat="1" applyFont="1" applyBorder="1" applyAlignment="1">
      <alignment vertical="center"/>
    </xf>
    <xf numFmtId="165" fontId="15" fillId="4" borderId="11" xfId="0" applyNumberFormat="1" applyFont="1" applyFill="1" applyBorder="1"/>
    <xf numFmtId="165" fontId="15" fillId="4" borderId="41" xfId="0" applyNumberFormat="1" applyFont="1" applyFill="1" applyBorder="1"/>
    <xf numFmtId="165" fontId="15" fillId="4" borderId="42" xfId="0" applyNumberFormat="1" applyFont="1" applyFill="1" applyBorder="1"/>
    <xf numFmtId="1" fontId="15" fillId="6" borderId="38" xfId="0" applyNumberFormat="1" applyFont="1" applyFill="1" applyBorder="1"/>
    <xf numFmtId="1" fontId="8" fillId="6" borderId="38" xfId="0" applyNumberFormat="1" applyFont="1" applyFill="1" applyBorder="1"/>
    <xf numFmtId="1" fontId="4" fillId="6" borderId="38" xfId="0" applyNumberFormat="1" applyFont="1" applyFill="1" applyBorder="1"/>
    <xf numFmtId="0" fontId="0" fillId="6" borderId="0" xfId="0" applyFill="1"/>
    <xf numFmtId="1" fontId="15" fillId="4" borderId="0" xfId="0" applyNumberFormat="1" applyFont="1" applyFill="1"/>
    <xf numFmtId="3" fontId="20" fillId="0" borderId="31" xfId="0" applyNumberFormat="1" applyFont="1" applyBorder="1" applyAlignment="1">
      <alignment vertical="center"/>
    </xf>
    <xf numFmtId="3" fontId="20" fillId="0" borderId="37" xfId="0" applyNumberFormat="1" applyFont="1" applyBorder="1" applyAlignment="1">
      <alignment vertical="center"/>
    </xf>
    <xf numFmtId="167" fontId="18" fillId="0" borderId="31" xfId="2" applyNumberFormat="1" applyFont="1" applyBorder="1" applyAlignment="1">
      <alignment vertical="center"/>
    </xf>
    <xf numFmtId="167" fontId="18" fillId="0" borderId="33" xfId="2" applyNumberFormat="1" applyFont="1" applyBorder="1" applyAlignment="1">
      <alignment vertical="center"/>
    </xf>
    <xf numFmtId="167" fontId="18" fillId="0" borderId="37" xfId="2" applyNumberFormat="1" applyFont="1" applyBorder="1" applyAlignment="1">
      <alignment vertical="center"/>
    </xf>
    <xf numFmtId="165" fontId="8" fillId="6" borderId="16" xfId="0" applyNumberFormat="1" applyFont="1" applyFill="1" applyBorder="1"/>
    <xf numFmtId="165" fontId="8" fillId="6" borderId="19" xfId="0" applyNumberFormat="1" applyFont="1" applyFill="1" applyBorder="1"/>
    <xf numFmtId="1" fontId="0" fillId="4" borderId="0" xfId="0" applyNumberFormat="1" applyFill="1"/>
    <xf numFmtId="3" fontId="18" fillId="0" borderId="31" xfId="0" applyNumberFormat="1" applyFont="1" applyBorder="1" applyAlignment="1">
      <alignment horizontal="center" vertical="center"/>
    </xf>
    <xf numFmtId="3" fontId="18" fillId="0" borderId="35" xfId="0" applyNumberFormat="1" applyFont="1" applyBorder="1" applyAlignment="1">
      <alignment horizontal="center" vertical="center"/>
    </xf>
    <xf numFmtId="3" fontId="18" fillId="0" borderId="11" xfId="0" applyNumberFormat="1" applyFont="1" applyBorder="1" applyAlignment="1">
      <alignment horizontal="center" vertical="center"/>
    </xf>
    <xf numFmtId="3" fontId="18" fillId="0" borderId="33" xfId="0" applyNumberFormat="1" applyFont="1" applyBorder="1" applyAlignment="1">
      <alignment horizontal="center" vertical="center"/>
    </xf>
    <xf numFmtId="3" fontId="18" fillId="0" borderId="37" xfId="0" applyNumberFormat="1" applyFont="1" applyBorder="1" applyAlignment="1">
      <alignment horizontal="center" vertical="center"/>
    </xf>
    <xf numFmtId="3" fontId="18" fillId="0" borderId="10" xfId="0" applyNumberFormat="1" applyFont="1" applyBorder="1" applyAlignment="1">
      <alignment horizontal="center" vertical="center"/>
    </xf>
    <xf numFmtId="3" fontId="18" fillId="0" borderId="43" xfId="0" applyNumberFormat="1" applyFont="1" applyBorder="1" applyAlignment="1">
      <alignment horizontal="center" vertical="center"/>
    </xf>
    <xf numFmtId="3" fontId="18" fillId="5" borderId="55" xfId="0" applyNumberFormat="1" applyFont="1" applyFill="1" applyBorder="1" applyAlignment="1">
      <alignment horizontal="center" vertical="center"/>
    </xf>
    <xf numFmtId="167" fontId="39" fillId="0" borderId="31" xfId="2" applyNumberFormat="1" applyFont="1" applyBorder="1" applyAlignment="1">
      <alignment vertical="center"/>
    </xf>
    <xf numFmtId="167" fontId="39" fillId="0" borderId="35" xfId="0" applyNumberFormat="1" applyFont="1" applyBorder="1" applyAlignment="1">
      <alignment vertical="center"/>
    </xf>
    <xf numFmtId="10" fontId="39" fillId="0" borderId="34" xfId="0" applyNumberFormat="1" applyFont="1" applyBorder="1" applyAlignment="1">
      <alignment vertical="center"/>
    </xf>
    <xf numFmtId="10" fontId="39" fillId="0" borderId="35" xfId="0" applyNumberFormat="1" applyFont="1" applyBorder="1" applyAlignment="1">
      <alignment vertical="center"/>
    </xf>
    <xf numFmtId="167" fontId="39" fillId="0" borderId="33" xfId="2" applyNumberFormat="1" applyFont="1" applyBorder="1" applyAlignment="1">
      <alignment vertical="center"/>
    </xf>
    <xf numFmtId="167" fontId="39" fillId="0" borderId="36" xfId="0" applyNumberFormat="1" applyFont="1" applyBorder="1" applyAlignment="1">
      <alignment vertical="center"/>
    </xf>
    <xf numFmtId="10" fontId="39" fillId="0" borderId="0" xfId="0" applyNumberFormat="1" applyFont="1" applyAlignment="1">
      <alignment vertical="center"/>
    </xf>
    <xf numFmtId="10" fontId="39" fillId="0" borderId="36" xfId="0" applyNumberFormat="1" applyFont="1" applyBorder="1" applyAlignment="1">
      <alignment vertical="center"/>
    </xf>
    <xf numFmtId="167" fontId="39" fillId="0" borderId="37" xfId="2" applyNumberFormat="1" applyFont="1" applyBorder="1" applyAlignment="1">
      <alignment vertical="center"/>
    </xf>
    <xf numFmtId="167" fontId="39" fillId="0" borderId="39" xfId="0" applyNumberFormat="1" applyFont="1" applyBorder="1" applyAlignment="1">
      <alignment vertical="center"/>
    </xf>
    <xf numFmtId="10" fontId="39" fillId="0" borderId="38" xfId="0" applyNumberFormat="1" applyFont="1" applyBorder="1" applyAlignment="1">
      <alignment vertical="center"/>
    </xf>
    <xf numFmtId="10" fontId="39" fillId="0" borderId="39" xfId="0" applyNumberFormat="1" applyFont="1" applyBorder="1" applyAlignment="1">
      <alignment vertical="center"/>
    </xf>
    <xf numFmtId="0" fontId="18" fillId="0" borderId="0" xfId="0" applyFont="1"/>
    <xf numFmtId="0" fontId="18" fillId="0" borderId="12" xfId="0" applyFont="1" applyBorder="1"/>
    <xf numFmtId="0" fontId="18" fillId="0" borderId="13" xfId="0" applyFont="1" applyBorder="1"/>
    <xf numFmtId="167" fontId="18" fillId="0" borderId="14" xfId="2" applyNumberFormat="1" applyFont="1" applyBorder="1"/>
    <xf numFmtId="0" fontId="18" fillId="0" borderId="15" xfId="0" applyFont="1" applyBorder="1"/>
    <xf numFmtId="167" fontId="18" fillId="0" borderId="16" xfId="2" applyNumberFormat="1" applyFont="1" applyBorder="1"/>
    <xf numFmtId="0" fontId="18" fillId="0" borderId="17" xfId="0" applyFont="1" applyBorder="1"/>
    <xf numFmtId="0" fontId="18" fillId="0" borderId="18" xfId="0" applyFont="1" applyBorder="1"/>
    <xf numFmtId="167" fontId="18" fillId="0" borderId="19" xfId="2" applyNumberFormat="1" applyFont="1" applyBorder="1"/>
    <xf numFmtId="1" fontId="18" fillId="0" borderId="0" xfId="0" applyNumberFormat="1" applyFont="1"/>
    <xf numFmtId="1" fontId="31" fillId="0" borderId="0" xfId="0" applyNumberFormat="1" applyFont="1"/>
    <xf numFmtId="2" fontId="18" fillId="0" borderId="0" xfId="0" applyNumberFormat="1" applyFont="1"/>
    <xf numFmtId="1" fontId="34" fillId="0" borderId="0" xfId="0" applyNumberFormat="1" applyFont="1"/>
    <xf numFmtId="3" fontId="18" fillId="6" borderId="13" xfId="0" applyNumberFormat="1" applyFont="1" applyFill="1" applyBorder="1"/>
    <xf numFmtId="3" fontId="31" fillId="6" borderId="13" xfId="0" applyNumberFormat="1" applyFont="1" applyFill="1" applyBorder="1"/>
    <xf numFmtId="3" fontId="31" fillId="4" borderId="13" xfId="0" applyNumberFormat="1" applyFont="1" applyFill="1" applyBorder="1"/>
    <xf numFmtId="3" fontId="31" fillId="4" borderId="20" xfId="0" applyNumberFormat="1" applyFont="1" applyFill="1" applyBorder="1"/>
    <xf numFmtId="3" fontId="18" fillId="6" borderId="0" xfId="0" applyNumberFormat="1" applyFont="1" applyFill="1"/>
    <xf numFmtId="3" fontId="31" fillId="6" borderId="0" xfId="0" applyNumberFormat="1" applyFont="1" applyFill="1"/>
    <xf numFmtId="3" fontId="31" fillId="4" borderId="0" xfId="0" applyNumberFormat="1" applyFont="1" applyFill="1"/>
    <xf numFmtId="3" fontId="31" fillId="4" borderId="21" xfId="0" applyNumberFormat="1" applyFont="1" applyFill="1" applyBorder="1"/>
    <xf numFmtId="3" fontId="18" fillId="6" borderId="18" xfId="0" applyNumberFormat="1" applyFont="1" applyFill="1" applyBorder="1"/>
    <xf numFmtId="3" fontId="31" fillId="6" borderId="18" xfId="0" applyNumberFormat="1" applyFont="1" applyFill="1" applyBorder="1"/>
    <xf numFmtId="3" fontId="31" fillId="4" borderId="18" xfId="0" applyNumberFormat="1" applyFont="1" applyFill="1" applyBorder="1"/>
    <xf numFmtId="3" fontId="31" fillId="4" borderId="22" xfId="0" applyNumberFormat="1" applyFont="1" applyFill="1" applyBorder="1"/>
    <xf numFmtId="3" fontId="18" fillId="0" borderId="0" xfId="0" applyNumberFormat="1" applyFont="1"/>
    <xf numFmtId="3" fontId="43" fillId="6" borderId="0" xfId="0" applyNumberFormat="1" applyFont="1" applyFill="1"/>
    <xf numFmtId="3" fontId="35" fillId="6" borderId="23" xfId="0" applyNumberFormat="1" applyFont="1" applyFill="1" applyBorder="1"/>
    <xf numFmtId="3" fontId="34" fillId="6" borderId="24" xfId="0" applyNumberFormat="1" applyFont="1" applyFill="1" applyBorder="1"/>
    <xf numFmtId="3" fontId="32" fillId="6" borderId="24" xfId="0" applyNumberFormat="1" applyFont="1" applyFill="1" applyBorder="1"/>
    <xf numFmtId="3" fontId="31" fillId="6" borderId="24" xfId="0" applyNumberFormat="1" applyFont="1" applyFill="1" applyBorder="1"/>
    <xf numFmtId="3" fontId="31" fillId="6" borderId="19" xfId="0" applyNumberFormat="1" applyFont="1" applyFill="1" applyBorder="1"/>
    <xf numFmtId="168" fontId="18" fillId="0" borderId="0" xfId="0" applyNumberFormat="1" applyFont="1" applyAlignment="1">
      <alignment vertical="center"/>
    </xf>
    <xf numFmtId="10" fontId="0" fillId="6" borderId="0" xfId="0" applyNumberFormat="1" applyFill="1" applyAlignment="1">
      <alignment vertical="center"/>
    </xf>
    <xf numFmtId="0" fontId="29" fillId="0" borderId="0" xfId="0" applyFont="1" applyAlignment="1">
      <alignment vertical="center"/>
    </xf>
    <xf numFmtId="165" fontId="29" fillId="0" borderId="0" xfId="0" applyNumberFormat="1" applyFont="1" applyAlignment="1">
      <alignment vertical="center"/>
    </xf>
    <xf numFmtId="167" fontId="44" fillId="0" borderId="0" xfId="2" applyNumberFormat="1" applyFont="1" applyAlignment="1">
      <alignment vertical="center"/>
    </xf>
    <xf numFmtId="167" fontId="36" fillId="0" borderId="0" xfId="2" applyNumberFormat="1" applyFont="1" applyAlignment="1">
      <alignment vertical="center"/>
    </xf>
    <xf numFmtId="165" fontId="44" fillId="0" borderId="0" xfId="0" applyNumberFormat="1" applyFont="1" applyAlignment="1">
      <alignment vertical="center"/>
    </xf>
    <xf numFmtId="165" fontId="36" fillId="0" borderId="0" xfId="0" applyNumberFormat="1" applyFont="1" applyAlignment="1">
      <alignment vertical="center"/>
    </xf>
    <xf numFmtId="0" fontId="33" fillId="6" borderId="0" xfId="0" applyFont="1" applyFill="1"/>
    <xf numFmtId="168" fontId="0" fillId="8" borderId="24" xfId="0" applyNumberFormat="1" applyFill="1" applyBorder="1"/>
    <xf numFmtId="2" fontId="18" fillId="6" borderId="0" xfId="0" applyNumberFormat="1" applyFont="1" applyFill="1"/>
    <xf numFmtId="3" fontId="31" fillId="4" borderId="12" xfId="0" applyNumberFormat="1" applyFont="1" applyFill="1" applyBorder="1"/>
    <xf numFmtId="3" fontId="31" fillId="4" borderId="15" xfId="0" applyNumberFormat="1" applyFont="1" applyFill="1" applyBorder="1"/>
    <xf numFmtId="3" fontId="31" fillId="4" borderId="17" xfId="0" applyNumberFormat="1" applyFont="1" applyFill="1" applyBorder="1"/>
    <xf numFmtId="3" fontId="18" fillId="3" borderId="13" xfId="0" applyNumberFormat="1" applyFont="1" applyFill="1" applyBorder="1"/>
    <xf numFmtId="3" fontId="18" fillId="3" borderId="0" xfId="0" applyNumberFormat="1" applyFont="1" applyFill="1"/>
    <xf numFmtId="3" fontId="18" fillId="3" borderId="18" xfId="0" applyNumberFormat="1" applyFont="1" applyFill="1" applyBorder="1"/>
    <xf numFmtId="3" fontId="31" fillId="6" borderId="14" xfId="0" applyNumberFormat="1" applyFont="1" applyFill="1" applyBorder="1"/>
    <xf numFmtId="3" fontId="31" fillId="6" borderId="16" xfId="0" applyNumberFormat="1" applyFont="1" applyFill="1" applyBorder="1"/>
    <xf numFmtId="10" fontId="18" fillId="0" borderId="0" xfId="0" applyNumberFormat="1" applyFont="1" applyAlignment="1">
      <alignment vertical="center"/>
    </xf>
    <xf numFmtId="3" fontId="31" fillId="0" borderId="0" xfId="0" applyNumberFormat="1" applyFont="1"/>
    <xf numFmtId="165" fontId="31" fillId="4" borderId="13" xfId="0" applyNumberFormat="1" applyFont="1" applyFill="1" applyBorder="1"/>
    <xf numFmtId="165" fontId="31" fillId="4" borderId="0" xfId="0" applyNumberFormat="1" applyFont="1" applyFill="1"/>
    <xf numFmtId="165" fontId="31" fillId="4" borderId="18" xfId="0" applyNumberFormat="1" applyFont="1" applyFill="1" applyBorder="1"/>
    <xf numFmtId="167" fontId="0" fillId="4" borderId="0" xfId="0" applyNumberFormat="1" applyFill="1"/>
    <xf numFmtId="1" fontId="16" fillId="4" borderId="0" xfId="0" applyNumberFormat="1" applyFont="1" applyFill="1"/>
    <xf numFmtId="1" fontId="16" fillId="4" borderId="45" xfId="0" applyNumberFormat="1" applyFont="1" applyFill="1" applyBorder="1"/>
    <xf numFmtId="1" fontId="16" fillId="4" borderId="38" xfId="0" applyNumberFormat="1" applyFont="1" applyFill="1" applyBorder="1"/>
    <xf numFmtId="1" fontId="16" fillId="4" borderId="56" xfId="0" applyNumberFormat="1" applyFont="1" applyFill="1" applyBorder="1"/>
    <xf numFmtId="0" fontId="4" fillId="0" borderId="13" xfId="0" applyFont="1" applyBorder="1"/>
    <xf numFmtId="0" fontId="4" fillId="0" borderId="18" xfId="0" applyFont="1" applyBorder="1"/>
    <xf numFmtId="165" fontId="0" fillId="4" borderId="18" xfId="0" applyNumberFormat="1" applyFill="1" applyBorder="1"/>
    <xf numFmtId="0" fontId="10" fillId="0" borderId="0" xfId="3"/>
    <xf numFmtId="0" fontId="10" fillId="4" borderId="0" xfId="3" applyFill="1"/>
    <xf numFmtId="164" fontId="10" fillId="4" borderId="0" xfId="3" applyNumberFormat="1" applyFill="1"/>
    <xf numFmtId="2" fontId="10" fillId="0" borderId="0" xfId="3" applyNumberFormat="1"/>
    <xf numFmtId="164" fontId="45" fillId="4" borderId="0" xfId="3" applyNumberFormat="1" applyFont="1" applyFill="1"/>
    <xf numFmtId="164" fontId="10" fillId="0" borderId="0" xfId="3" applyNumberFormat="1"/>
    <xf numFmtId="2" fontId="10" fillId="4" borderId="0" xfId="3" applyNumberFormat="1" applyFill="1"/>
    <xf numFmtId="164" fontId="8" fillId="0" borderId="0" xfId="3" applyNumberFormat="1" applyFont="1"/>
    <xf numFmtId="164" fontId="45" fillId="0" borderId="0" xfId="3" applyNumberFormat="1" applyFont="1"/>
    <xf numFmtId="1" fontId="10" fillId="0" borderId="0" xfId="3" applyNumberFormat="1"/>
    <xf numFmtId="0" fontId="10" fillId="0" borderId="1" xfId="3" applyBorder="1"/>
    <xf numFmtId="168" fontId="33" fillId="7" borderId="0" xfId="0" applyNumberFormat="1" applyFont="1" applyFill="1" applyAlignment="1">
      <alignment vertical="center"/>
    </xf>
    <xf numFmtId="10" fontId="18" fillId="7" borderId="0" xfId="0" applyNumberFormat="1" applyFont="1" applyFill="1" applyAlignment="1">
      <alignment vertical="center"/>
    </xf>
    <xf numFmtId="168" fontId="33" fillId="6" borderId="0" xfId="0" applyNumberFormat="1" applyFont="1" applyFill="1" applyAlignment="1">
      <alignment vertical="center"/>
    </xf>
    <xf numFmtId="0" fontId="8" fillId="6" borderId="0" xfId="3" applyFont="1" applyFill="1"/>
    <xf numFmtId="165" fontId="10" fillId="6" borderId="0" xfId="3" applyNumberFormat="1" applyFill="1"/>
    <xf numFmtId="10" fontId="10" fillId="0" borderId="0" xfId="3" applyNumberFormat="1"/>
    <xf numFmtId="10" fontId="10" fillId="6" borderId="0" xfId="3" applyNumberFormat="1" applyFill="1"/>
    <xf numFmtId="0" fontId="8" fillId="0" borderId="0" xfId="3" applyFont="1"/>
    <xf numFmtId="10" fontId="10" fillId="9" borderId="0" xfId="3" applyNumberFormat="1" applyFill="1"/>
    <xf numFmtId="10" fontId="10" fillId="9" borderId="0" xfId="2" applyNumberFormat="1" applyFill="1"/>
    <xf numFmtId="0" fontId="0" fillId="7" borderId="0" xfId="0" applyFill="1"/>
    <xf numFmtId="167" fontId="18" fillId="0" borderId="11" xfId="2" applyNumberFormat="1" applyFont="1" applyFill="1" applyBorder="1" applyAlignment="1">
      <alignment vertical="center"/>
    </xf>
    <xf numFmtId="167" fontId="18" fillId="0" borderId="41" xfId="2" applyNumberFormat="1" applyFont="1" applyFill="1" applyBorder="1" applyAlignment="1">
      <alignment vertical="center"/>
    </xf>
    <xf numFmtId="167" fontId="18" fillId="0" borderId="42" xfId="2" applyNumberFormat="1" applyFont="1" applyFill="1" applyBorder="1" applyAlignment="1">
      <alignment vertical="center"/>
    </xf>
    <xf numFmtId="168" fontId="0" fillId="4" borderId="0" xfId="0" applyNumberFormat="1" applyFill="1"/>
    <xf numFmtId="168" fontId="0" fillId="7" borderId="0" xfId="0" applyNumberFormat="1" applyFill="1"/>
    <xf numFmtId="168" fontId="0" fillId="6" borderId="0" xfId="0" applyNumberFormat="1" applyFill="1"/>
    <xf numFmtId="168" fontId="8" fillId="4" borderId="0" xfId="3" applyNumberFormat="1" applyFont="1" applyFill="1"/>
    <xf numFmtId="168" fontId="10" fillId="6" borderId="0" xfId="3" applyNumberFormat="1" applyFill="1"/>
    <xf numFmtId="168" fontId="0" fillId="4" borderId="13" xfId="0" applyNumberFormat="1" applyFill="1" applyBorder="1"/>
    <xf numFmtId="168" fontId="0" fillId="3" borderId="0" xfId="0" applyNumberFormat="1" applyFill="1"/>
    <xf numFmtId="2" fontId="18" fillId="0" borderId="0" xfId="0" applyNumberFormat="1" applyFont="1" applyAlignment="1">
      <alignment vertical="center"/>
    </xf>
    <xf numFmtId="10" fontId="18" fillId="0" borderId="34" xfId="2" applyNumberFormat="1" applyFont="1" applyBorder="1" applyAlignment="1">
      <alignment vertical="center"/>
    </xf>
    <xf numFmtId="2" fontId="18" fillId="0" borderId="35" xfId="0" applyNumberFormat="1" applyFont="1" applyBorder="1" applyAlignment="1">
      <alignment vertical="center"/>
    </xf>
    <xf numFmtId="10" fontId="18" fillId="0" borderId="0" xfId="2" applyNumberFormat="1" applyFont="1" applyBorder="1" applyAlignment="1">
      <alignment vertical="center"/>
    </xf>
    <xf numFmtId="2" fontId="18" fillId="0" borderId="36" xfId="0" applyNumberFormat="1" applyFont="1" applyBorder="1" applyAlignment="1">
      <alignment vertical="center"/>
    </xf>
    <xf numFmtId="10" fontId="18" fillId="0" borderId="38" xfId="2" applyNumberFormat="1" applyFont="1" applyBorder="1" applyAlignment="1">
      <alignment vertical="center"/>
    </xf>
    <xf numFmtId="2" fontId="18" fillId="0" borderId="39" xfId="0" applyNumberFormat="1" applyFont="1" applyBorder="1" applyAlignment="1">
      <alignment vertical="center"/>
    </xf>
    <xf numFmtId="167" fontId="8" fillId="4" borderId="0" xfId="0" applyNumberFormat="1" applyFont="1" applyFill="1"/>
    <xf numFmtId="167" fontId="18" fillId="0" borderId="0" xfId="2" applyNumberFormat="1" applyFont="1" applyAlignment="1">
      <alignment vertical="center"/>
    </xf>
    <xf numFmtId="0" fontId="30" fillId="0" borderId="0" xfId="0" applyFont="1" applyAlignment="1">
      <alignment vertical="center"/>
    </xf>
    <xf numFmtId="167" fontId="30" fillId="0" borderId="33" xfId="2" applyNumberFormat="1" applyFont="1" applyBorder="1" applyAlignment="1">
      <alignment vertical="center"/>
    </xf>
    <xf numFmtId="167" fontId="30" fillId="0" borderId="0" xfId="2" applyNumberFormat="1" applyFont="1" applyBorder="1" applyAlignment="1">
      <alignment vertical="center"/>
    </xf>
    <xf numFmtId="167" fontId="30" fillId="0" borderId="36" xfId="2" applyNumberFormat="1" applyFont="1" applyBorder="1" applyAlignment="1">
      <alignment vertical="center"/>
    </xf>
    <xf numFmtId="167" fontId="30" fillId="0" borderId="37" xfId="2" applyNumberFormat="1" applyFont="1" applyBorder="1" applyAlignment="1">
      <alignment vertical="center"/>
    </xf>
    <xf numFmtId="167" fontId="30" fillId="0" borderId="38" xfId="2" applyNumberFormat="1" applyFont="1" applyBorder="1" applyAlignment="1">
      <alignment vertical="center"/>
    </xf>
    <xf numFmtId="167" fontId="30" fillId="0" borderId="39" xfId="2" applyNumberFormat="1" applyFont="1" applyBorder="1" applyAlignment="1">
      <alignment vertical="center"/>
    </xf>
    <xf numFmtId="3" fontId="46" fillId="0" borderId="31" xfId="0" applyNumberFormat="1" applyFont="1" applyBorder="1" applyAlignment="1">
      <alignment vertical="center"/>
    </xf>
    <xf numFmtId="3" fontId="46" fillId="0" borderId="34" xfId="0" applyNumberFormat="1" applyFont="1" applyBorder="1" applyAlignment="1">
      <alignment vertical="center"/>
    </xf>
    <xf numFmtId="3" fontId="46" fillId="0" borderId="35" xfId="0" applyNumberFormat="1" applyFont="1" applyBorder="1" applyAlignment="1">
      <alignment vertical="center"/>
    </xf>
    <xf numFmtId="3" fontId="46" fillId="0" borderId="33" xfId="0" applyNumberFormat="1" applyFont="1" applyBorder="1" applyAlignment="1">
      <alignment vertical="center"/>
    </xf>
    <xf numFmtId="3" fontId="46" fillId="0" borderId="0" xfId="0" applyNumberFormat="1" applyFont="1" applyAlignment="1">
      <alignment vertical="center"/>
    </xf>
    <xf numFmtId="3" fontId="46" fillId="0" borderId="36" xfId="0" applyNumberFormat="1" applyFont="1" applyBorder="1" applyAlignment="1">
      <alignment vertical="center"/>
    </xf>
    <xf numFmtId="3" fontId="46" fillId="0" borderId="37" xfId="0" applyNumberFormat="1" applyFont="1" applyBorder="1" applyAlignment="1">
      <alignment vertical="center"/>
    </xf>
    <xf numFmtId="3" fontId="46" fillId="0" borderId="38" xfId="0" applyNumberFormat="1" applyFont="1" applyBorder="1" applyAlignment="1">
      <alignment vertical="center"/>
    </xf>
    <xf numFmtId="3" fontId="46" fillId="0" borderId="39" xfId="0" applyNumberFormat="1" applyFont="1" applyBorder="1" applyAlignment="1">
      <alignment vertical="center"/>
    </xf>
    <xf numFmtId="167" fontId="8" fillId="6" borderId="11" xfId="2" applyNumberFormat="1" applyFont="1" applyFill="1" applyBorder="1"/>
    <xf numFmtId="167" fontId="8" fillId="6" borderId="41" xfId="2" applyNumberFormat="1" applyFont="1" applyFill="1" applyBorder="1"/>
    <xf numFmtId="167" fontId="8" fillId="6" borderId="42" xfId="2" applyNumberFormat="1" applyFont="1" applyFill="1" applyBorder="1"/>
    <xf numFmtId="2" fontId="8" fillId="3" borderId="35" xfId="0" applyNumberFormat="1" applyFont="1" applyFill="1" applyBorder="1"/>
    <xf numFmtId="2" fontId="8" fillId="3" borderId="36" xfId="0" applyNumberFormat="1" applyFont="1" applyFill="1" applyBorder="1"/>
    <xf numFmtId="2" fontId="8" fillId="3" borderId="39" xfId="0" applyNumberFormat="1" applyFont="1" applyFill="1" applyBorder="1"/>
    <xf numFmtId="165" fontId="29" fillId="4" borderId="31" xfId="0" applyNumberFormat="1" applyFont="1" applyFill="1" applyBorder="1" applyAlignment="1">
      <alignment vertical="center"/>
    </xf>
    <xf numFmtId="165" fontId="29" fillId="4" borderId="34" xfId="0" applyNumberFormat="1" applyFont="1" applyFill="1" applyBorder="1" applyAlignment="1">
      <alignment vertical="center"/>
    </xf>
    <xf numFmtId="165" fontId="29" fillId="4" borderId="35" xfId="0" applyNumberFormat="1" applyFont="1" applyFill="1" applyBorder="1" applyAlignment="1">
      <alignment vertical="center"/>
    </xf>
    <xf numFmtId="165" fontId="29" fillId="4" borderId="33" xfId="0" applyNumberFormat="1" applyFont="1" applyFill="1" applyBorder="1" applyAlignment="1">
      <alignment vertical="center"/>
    </xf>
    <xf numFmtId="165" fontId="29" fillId="4" borderId="36" xfId="0" applyNumberFormat="1" applyFont="1" applyFill="1" applyBorder="1" applyAlignment="1">
      <alignment vertical="center"/>
    </xf>
    <xf numFmtId="165" fontId="29" fillId="6" borderId="33" xfId="0" applyNumberFormat="1" applyFont="1" applyFill="1" applyBorder="1" applyAlignment="1">
      <alignment vertical="center"/>
    </xf>
    <xf numFmtId="165" fontId="29" fillId="6" borderId="36" xfId="0" applyNumberFormat="1" applyFont="1" applyFill="1" applyBorder="1" applyAlignment="1">
      <alignment vertical="center"/>
    </xf>
    <xf numFmtId="165" fontId="29" fillId="4" borderId="37" xfId="0" applyNumberFormat="1" applyFont="1" applyFill="1" applyBorder="1" applyAlignment="1">
      <alignment vertical="center"/>
    </xf>
    <xf numFmtId="165" fontId="29" fillId="4" borderId="38" xfId="0" applyNumberFormat="1" applyFont="1" applyFill="1" applyBorder="1" applyAlignment="1">
      <alignment vertical="center"/>
    </xf>
    <xf numFmtId="165" fontId="29" fillId="4" borderId="39" xfId="0" applyNumberFormat="1" applyFont="1" applyFill="1" applyBorder="1" applyAlignment="1">
      <alignment vertical="center"/>
    </xf>
    <xf numFmtId="165" fontId="29" fillId="4" borderId="0" xfId="0" applyNumberFormat="1" applyFont="1" applyFill="1" applyAlignment="1">
      <alignment vertical="center"/>
    </xf>
    <xf numFmtId="165" fontId="29" fillId="6" borderId="0" xfId="0" applyNumberFormat="1" applyFont="1" applyFill="1" applyAlignment="1">
      <alignment vertical="center"/>
    </xf>
    <xf numFmtId="165" fontId="29" fillId="0" borderId="37" xfId="0" applyNumberFormat="1" applyFont="1" applyBorder="1" applyAlignment="1">
      <alignment vertical="center"/>
    </xf>
    <xf numFmtId="165" fontId="29" fillId="0" borderId="38" xfId="0" applyNumberFormat="1" applyFont="1" applyBorder="1" applyAlignment="1">
      <alignment vertical="center"/>
    </xf>
    <xf numFmtId="165" fontId="29" fillId="0" borderId="39" xfId="0" applyNumberFormat="1" applyFont="1" applyBorder="1" applyAlignment="1">
      <alignment vertical="center"/>
    </xf>
    <xf numFmtId="165" fontId="30" fillId="0" borderId="37" xfId="0" applyNumberFormat="1" applyFont="1" applyBorder="1" applyAlignment="1">
      <alignment vertical="center"/>
    </xf>
    <xf numFmtId="165" fontId="30" fillId="0" borderId="38" xfId="0" applyNumberFormat="1" applyFont="1" applyBorder="1" applyAlignment="1">
      <alignment vertical="center"/>
    </xf>
    <xf numFmtId="165" fontId="30" fillId="0" borderId="39" xfId="0" applyNumberFormat="1" applyFont="1" applyBorder="1" applyAlignment="1">
      <alignment vertical="center"/>
    </xf>
    <xf numFmtId="3" fontId="29" fillId="6" borderId="31" xfId="0" applyNumberFormat="1" applyFont="1" applyFill="1" applyBorder="1" applyAlignment="1">
      <alignment vertical="center"/>
    </xf>
    <xf numFmtId="3" fontId="29" fillId="6" borderId="34" xfId="0" applyNumberFormat="1" applyFont="1" applyFill="1" applyBorder="1" applyAlignment="1">
      <alignment vertical="center"/>
    </xf>
    <xf numFmtId="3" fontId="29" fillId="6" borderId="35" xfId="0" applyNumberFormat="1" applyFont="1" applyFill="1" applyBorder="1" applyAlignment="1">
      <alignment vertical="center"/>
    </xf>
    <xf numFmtId="3" fontId="29" fillId="6" borderId="33" xfId="0" applyNumberFormat="1" applyFont="1" applyFill="1" applyBorder="1" applyAlignment="1">
      <alignment vertical="center"/>
    </xf>
    <xf numFmtId="3" fontId="29" fillId="6" borderId="0" xfId="0" applyNumberFormat="1" applyFont="1" applyFill="1" applyAlignment="1">
      <alignment vertical="center"/>
    </xf>
    <xf numFmtId="3" fontId="29" fillId="6" borderId="36" xfId="0" applyNumberFormat="1" applyFont="1" applyFill="1" applyBorder="1" applyAlignment="1">
      <alignment vertical="center"/>
    </xf>
    <xf numFmtId="3" fontId="29" fillId="0" borderId="37" xfId="0" applyNumberFormat="1" applyFont="1" applyBorder="1" applyAlignment="1">
      <alignment vertical="center"/>
    </xf>
    <xf numFmtId="3" fontId="29" fillId="0" borderId="38" xfId="0" applyNumberFormat="1" applyFont="1" applyBorder="1" applyAlignment="1">
      <alignment vertical="center"/>
    </xf>
    <xf numFmtId="3" fontId="29" fillId="0" borderId="39" xfId="0" applyNumberFormat="1" applyFont="1" applyBorder="1" applyAlignment="1">
      <alignment vertical="center"/>
    </xf>
    <xf numFmtId="167" fontId="40" fillId="0" borderId="11" xfId="2" applyNumberFormat="1" applyFont="1" applyBorder="1" applyAlignment="1">
      <alignment vertical="center"/>
    </xf>
    <xf numFmtId="167" fontId="40" fillId="0" borderId="41" xfId="2" applyNumberFormat="1" applyFont="1" applyBorder="1" applyAlignment="1">
      <alignment vertical="center"/>
    </xf>
    <xf numFmtId="167" fontId="40" fillId="0" borderId="42" xfId="2" applyNumberFormat="1" applyFont="1" applyBorder="1" applyAlignment="1">
      <alignment vertical="center"/>
    </xf>
    <xf numFmtId="0" fontId="42" fillId="0" borderId="0" xfId="0" applyFont="1" applyAlignment="1">
      <alignment horizontal="left" vertical="center"/>
    </xf>
    <xf numFmtId="3" fontId="42" fillId="0" borderId="11" xfId="0" applyNumberFormat="1" applyFont="1" applyBorder="1" applyAlignment="1">
      <alignment vertical="center"/>
    </xf>
    <xf numFmtId="3" fontId="42" fillId="0" borderId="0" xfId="0" applyNumberFormat="1" applyFont="1" applyAlignment="1">
      <alignment vertical="center"/>
    </xf>
    <xf numFmtId="3" fontId="42" fillId="0" borderId="41" xfId="0" applyNumberFormat="1" applyFont="1" applyBorder="1" applyAlignment="1">
      <alignment vertical="center"/>
    </xf>
    <xf numFmtId="167" fontId="33" fillId="0" borderId="42" xfId="2" applyNumberFormat="1" applyFont="1" applyBorder="1" applyAlignment="1">
      <alignment vertical="center"/>
    </xf>
    <xf numFmtId="167" fontId="33" fillId="0" borderId="0" xfId="2" applyNumberFormat="1" applyFont="1" applyBorder="1" applyAlignment="1">
      <alignment vertical="center"/>
    </xf>
    <xf numFmtId="3" fontId="33" fillId="0" borderId="0" xfId="0" applyNumberFormat="1" applyFont="1" applyAlignment="1">
      <alignment vertical="center"/>
    </xf>
    <xf numFmtId="10" fontId="33" fillId="4" borderId="0" xfId="0" applyNumberFormat="1" applyFont="1" applyFill="1" applyAlignment="1">
      <alignment vertical="center"/>
    </xf>
    <xf numFmtId="0" fontId="42" fillId="0" borderId="0" xfId="0" applyFont="1" applyAlignment="1">
      <alignment vertical="center"/>
    </xf>
    <xf numFmtId="165" fontId="19" fillId="0" borderId="11" xfId="0" applyNumberFormat="1" applyFont="1" applyBorder="1" applyAlignment="1">
      <alignment horizontal="right" vertical="center"/>
    </xf>
    <xf numFmtId="165" fontId="19" fillId="0" borderId="42" xfId="0" applyNumberFormat="1" applyFont="1" applyBorder="1" applyAlignment="1">
      <alignment horizontal="right" vertical="center"/>
    </xf>
    <xf numFmtId="165" fontId="19" fillId="3" borderId="41" xfId="0" applyNumberFormat="1" applyFont="1" applyFill="1" applyBorder="1" applyAlignment="1">
      <alignment horizontal="right" vertical="center"/>
    </xf>
    <xf numFmtId="165" fontId="19" fillId="0" borderId="31" xfId="0" applyNumberFormat="1" applyFont="1" applyBorder="1" applyAlignment="1">
      <alignment vertical="center"/>
    </xf>
    <xf numFmtId="165" fontId="19" fillId="0" borderId="33" xfId="0" applyNumberFormat="1" applyFont="1" applyBorder="1" applyAlignment="1">
      <alignment vertical="center"/>
    </xf>
    <xf numFmtId="165" fontId="19" fillId="0" borderId="37" xfId="0" applyNumberFormat="1" applyFont="1" applyBorder="1" applyAlignment="1">
      <alignment vertical="center"/>
    </xf>
    <xf numFmtId="1" fontId="19" fillId="0" borderId="42" xfId="0" applyNumberFormat="1" applyFont="1" applyBorder="1" applyAlignment="1">
      <alignment vertical="center"/>
    </xf>
    <xf numFmtId="165" fontId="19" fillId="3" borderId="39" xfId="0" applyNumberFormat="1" applyFont="1" applyFill="1" applyBorder="1" applyAlignment="1">
      <alignment vertical="center"/>
    </xf>
    <xf numFmtId="3" fontId="19" fillId="0" borderId="10" xfId="0" applyNumberFormat="1" applyFont="1" applyBorder="1" applyAlignment="1">
      <alignment vertical="center"/>
    </xf>
    <xf numFmtId="165" fontId="19" fillId="0" borderId="43" xfId="0" applyNumberFormat="1" applyFont="1" applyBorder="1" applyAlignment="1">
      <alignment vertical="center"/>
    </xf>
    <xf numFmtId="0" fontId="19" fillId="3" borderId="43" xfId="0" applyFont="1" applyFill="1" applyBorder="1" applyAlignment="1">
      <alignment vertical="center"/>
    </xf>
    <xf numFmtId="165" fontId="19" fillId="0" borderId="55" xfId="0" applyNumberFormat="1" applyFont="1" applyBorder="1" applyAlignment="1">
      <alignment vertical="center"/>
    </xf>
    <xf numFmtId="165" fontId="19" fillId="0" borderId="11" xfId="0" applyNumberFormat="1" applyFont="1" applyBorder="1" applyAlignment="1">
      <alignment vertical="center"/>
    </xf>
    <xf numFmtId="165" fontId="19" fillId="3" borderId="41" xfId="0" applyNumberFormat="1" applyFont="1" applyFill="1" applyBorder="1" applyAlignment="1">
      <alignment vertical="center"/>
    </xf>
    <xf numFmtId="165" fontId="19" fillId="0" borderId="42" xfId="0" applyNumberFormat="1" applyFont="1" applyBorder="1" applyAlignment="1">
      <alignment vertical="center"/>
    </xf>
    <xf numFmtId="165" fontId="19" fillId="3" borderId="35" xfId="0" applyNumberFormat="1" applyFont="1" applyFill="1" applyBorder="1" applyAlignment="1">
      <alignment vertical="center"/>
    </xf>
    <xf numFmtId="165" fontId="42" fillId="0" borderId="42" xfId="0" applyNumberFormat="1" applyFont="1" applyBorder="1" applyAlignment="1">
      <alignment horizontal="right" vertical="center"/>
    </xf>
    <xf numFmtId="165" fontId="42" fillId="0" borderId="42" xfId="0" applyNumberFormat="1" applyFont="1" applyBorder="1" applyAlignment="1">
      <alignment vertical="center"/>
    </xf>
    <xf numFmtId="165" fontId="19" fillId="0" borderId="41" xfId="0" applyNumberFormat="1" applyFont="1" applyBorder="1" applyAlignment="1">
      <alignment vertical="center"/>
    </xf>
    <xf numFmtId="165" fontId="19" fillId="3" borderId="36" xfId="0" applyNumberFormat="1" applyFont="1" applyFill="1" applyBorder="1" applyAlignment="1">
      <alignment vertical="center"/>
    </xf>
    <xf numFmtId="165" fontId="19" fillId="3" borderId="34" xfId="0" applyNumberFormat="1" applyFont="1" applyFill="1" applyBorder="1" applyAlignment="1">
      <alignment vertical="center"/>
    </xf>
    <xf numFmtId="165" fontId="19" fillId="3" borderId="0" xfId="0" applyNumberFormat="1" applyFont="1" applyFill="1" applyAlignment="1">
      <alignment vertical="center"/>
    </xf>
    <xf numFmtId="165" fontId="19" fillId="3" borderId="38" xfId="0" applyNumberFormat="1" applyFont="1" applyFill="1" applyBorder="1" applyAlignment="1">
      <alignment vertical="center"/>
    </xf>
    <xf numFmtId="3" fontId="18" fillId="0" borderId="31" xfId="1" applyNumberFormat="1" applyFont="1" applyBorder="1" applyAlignment="1">
      <alignment vertical="center"/>
    </xf>
    <xf numFmtId="3" fontId="18" fillId="0" borderId="34" xfId="1" applyNumberFormat="1" applyFont="1" applyBorder="1" applyAlignment="1">
      <alignment vertical="center"/>
    </xf>
    <xf numFmtId="3" fontId="18" fillId="0" borderId="33" xfId="1" applyNumberFormat="1" applyFont="1" applyBorder="1" applyAlignment="1">
      <alignment vertical="center"/>
    </xf>
    <xf numFmtId="3" fontId="18" fillId="0" borderId="0" xfId="1" applyNumberFormat="1" applyFont="1" applyBorder="1" applyAlignment="1">
      <alignment vertical="center"/>
    </xf>
    <xf numFmtId="3" fontId="18" fillId="0" borderId="37" xfId="1" applyNumberFormat="1" applyFont="1" applyBorder="1" applyAlignment="1">
      <alignment vertical="center"/>
    </xf>
    <xf numFmtId="3" fontId="18" fillId="0" borderId="38" xfId="1" applyNumberFormat="1" applyFont="1" applyBorder="1" applyAlignment="1">
      <alignment vertical="center"/>
    </xf>
    <xf numFmtId="167" fontId="18" fillId="0" borderId="0" xfId="2" applyNumberFormat="1" applyFont="1" applyBorder="1" applyAlignment="1">
      <alignment vertical="center"/>
    </xf>
    <xf numFmtId="167" fontId="18" fillId="0" borderId="34" xfId="2" applyNumberFormat="1" applyFont="1" applyBorder="1" applyAlignment="1">
      <alignment vertical="center"/>
    </xf>
    <xf numFmtId="167" fontId="18" fillId="0" borderId="35" xfId="0" applyNumberFormat="1" applyFont="1" applyBorder="1" applyAlignment="1">
      <alignment vertical="center"/>
    </xf>
    <xf numFmtId="167" fontId="18" fillId="0" borderId="36" xfId="0" applyNumberFormat="1" applyFont="1" applyBorder="1" applyAlignment="1">
      <alignment vertical="center"/>
    </xf>
    <xf numFmtId="167" fontId="18" fillId="0" borderId="39" xfId="0" applyNumberFormat="1" applyFont="1" applyBorder="1" applyAlignment="1">
      <alignment vertical="center"/>
    </xf>
    <xf numFmtId="167" fontId="33" fillId="0" borderId="38" xfId="2" applyNumberFormat="1" applyFont="1" applyBorder="1" applyAlignment="1">
      <alignment vertical="center"/>
    </xf>
    <xf numFmtId="0" fontId="19" fillId="0" borderId="0" xfId="3" applyFont="1" applyAlignment="1">
      <alignment vertical="center"/>
    </xf>
    <xf numFmtId="0" fontId="19" fillId="0" borderId="0" xfId="0" applyFont="1" applyAlignment="1">
      <alignment horizontal="center" vertical="center"/>
    </xf>
    <xf numFmtId="0" fontId="19" fillId="0" borderId="0" xfId="0" applyFont="1" applyAlignment="1">
      <alignment horizontal="center" vertical="center" wrapText="1"/>
    </xf>
    <xf numFmtId="10" fontId="19" fillId="4" borderId="0" xfId="2" applyNumberFormat="1" applyFont="1" applyFill="1" applyBorder="1" applyAlignment="1">
      <alignment vertical="center"/>
    </xf>
    <xf numFmtId="10" fontId="19" fillId="4" borderId="34" xfId="2" applyNumberFormat="1" applyFont="1" applyFill="1" applyBorder="1" applyAlignment="1">
      <alignment vertical="center"/>
    </xf>
    <xf numFmtId="10" fontId="19" fillId="4" borderId="35" xfId="2" applyNumberFormat="1" applyFont="1" applyFill="1" applyBorder="1" applyAlignment="1">
      <alignment vertical="center"/>
    </xf>
    <xf numFmtId="10" fontId="19" fillId="4" borderId="36" xfId="2" applyNumberFormat="1" applyFont="1" applyFill="1" applyBorder="1" applyAlignment="1">
      <alignment vertical="center"/>
    </xf>
    <xf numFmtId="10" fontId="19" fillId="4" borderId="38" xfId="2" applyNumberFormat="1" applyFont="1" applyFill="1" applyBorder="1" applyAlignment="1">
      <alignment vertical="center"/>
    </xf>
    <xf numFmtId="10" fontId="19" fillId="4" borderId="39" xfId="2" applyNumberFormat="1" applyFont="1" applyFill="1" applyBorder="1" applyAlignment="1">
      <alignment vertical="center"/>
    </xf>
    <xf numFmtId="164" fontId="19" fillId="6" borderId="31" xfId="3" applyNumberFormat="1" applyFont="1" applyFill="1" applyBorder="1" applyAlignment="1">
      <alignment horizontal="center" vertical="center"/>
    </xf>
    <xf numFmtId="164" fontId="19" fillId="6" borderId="33" xfId="3" applyNumberFormat="1" applyFont="1" applyFill="1" applyBorder="1" applyAlignment="1">
      <alignment horizontal="center" vertical="center"/>
    </xf>
    <xf numFmtId="164" fontId="19" fillId="6" borderId="37" xfId="3" applyNumberFormat="1" applyFont="1" applyFill="1" applyBorder="1" applyAlignment="1">
      <alignment horizontal="center" vertical="center"/>
    </xf>
    <xf numFmtId="0" fontId="4" fillId="6" borderId="0" xfId="0" applyFont="1" applyFill="1"/>
    <xf numFmtId="0" fontId="4" fillId="0" borderId="12" xfId="0" applyFont="1" applyBorder="1"/>
    <xf numFmtId="0" fontId="4" fillId="0" borderId="14" xfId="0" applyFont="1" applyBorder="1"/>
    <xf numFmtId="0" fontId="4" fillId="4" borderId="0" xfId="0" applyFont="1" applyFill="1"/>
    <xf numFmtId="0" fontId="15" fillId="6" borderId="0" xfId="0" applyFont="1" applyFill="1"/>
    <xf numFmtId="0" fontId="4" fillId="0" borderId="15" xfId="0" applyFont="1" applyBorder="1"/>
    <xf numFmtId="0" fontId="4" fillId="0" borderId="16" xfId="0" applyFont="1" applyBorder="1"/>
    <xf numFmtId="0" fontId="4" fillId="0" borderId="17" xfId="0" applyFont="1" applyBorder="1"/>
    <xf numFmtId="0" fontId="4" fillId="0" borderId="19" xfId="0" applyFont="1" applyBorder="1"/>
    <xf numFmtId="0" fontId="4" fillId="6" borderId="12" xfId="0" applyFont="1" applyFill="1" applyBorder="1"/>
    <xf numFmtId="0" fontId="4" fillId="6" borderId="13" xfId="0" applyFont="1" applyFill="1" applyBorder="1"/>
    <xf numFmtId="0" fontId="4" fillId="6" borderId="14" xfId="0" applyFont="1" applyFill="1" applyBorder="1"/>
    <xf numFmtId="0" fontId="4" fillId="6" borderId="15" xfId="0" applyFont="1" applyFill="1" applyBorder="1"/>
    <xf numFmtId="0" fontId="4" fillId="6" borderId="16" xfId="0" applyFont="1" applyFill="1" applyBorder="1"/>
    <xf numFmtId="0" fontId="4" fillId="6" borderId="17" xfId="0" applyFont="1" applyFill="1" applyBorder="1"/>
    <xf numFmtId="0" fontId="4" fillId="6" borderId="18" xfId="0" applyFont="1" applyFill="1" applyBorder="1"/>
    <xf numFmtId="0" fontId="4" fillId="6" borderId="19" xfId="0" applyFont="1" applyFill="1" applyBorder="1"/>
    <xf numFmtId="0" fontId="4" fillId="7" borderId="0" xfId="0" applyFont="1" applyFill="1"/>
    <xf numFmtId="0" fontId="4" fillId="7" borderId="12" xfId="0" applyFont="1" applyFill="1" applyBorder="1"/>
    <xf numFmtId="0" fontId="4" fillId="7" borderId="13" xfId="0" applyFont="1" applyFill="1" applyBorder="1"/>
    <xf numFmtId="0" fontId="4" fillId="7" borderId="14" xfId="0" applyFont="1" applyFill="1" applyBorder="1"/>
    <xf numFmtId="0" fontId="4" fillId="7" borderId="15" xfId="0" applyFont="1" applyFill="1" applyBorder="1"/>
    <xf numFmtId="0" fontId="4" fillId="7" borderId="16" xfId="0" applyFont="1" applyFill="1" applyBorder="1"/>
    <xf numFmtId="0" fontId="4" fillId="7" borderId="17" xfId="0" applyFont="1" applyFill="1" applyBorder="1"/>
    <xf numFmtId="0" fontId="4" fillId="7" borderId="18" xfId="0" applyFont="1" applyFill="1" applyBorder="1"/>
    <xf numFmtId="0" fontId="4" fillId="7" borderId="19" xfId="0" applyFont="1" applyFill="1" applyBorder="1"/>
    <xf numFmtId="0" fontId="4" fillId="10" borderId="0" xfId="0" applyFont="1" applyFill="1"/>
    <xf numFmtId="165" fontId="0" fillId="0" borderId="35" xfId="0" applyNumberFormat="1" applyBorder="1"/>
    <xf numFmtId="165" fontId="0" fillId="0" borderId="36" xfId="0" applyNumberFormat="1" applyBorder="1"/>
    <xf numFmtId="165" fontId="0" fillId="0" borderId="39" xfId="0" applyNumberFormat="1" applyBorder="1"/>
    <xf numFmtId="165" fontId="8" fillId="0" borderId="34" xfId="0" applyNumberFormat="1" applyFont="1" applyBorder="1"/>
    <xf numFmtId="165" fontId="8" fillId="0" borderId="0" xfId="0" applyNumberFormat="1" applyFont="1"/>
    <xf numFmtId="165" fontId="8" fillId="0" borderId="38" xfId="0" applyNumberFormat="1" applyFont="1" applyBorder="1"/>
    <xf numFmtId="165" fontId="33" fillId="6" borderId="0" xfId="0" applyNumberFormat="1" applyFont="1" applyFill="1" applyAlignment="1">
      <alignment vertical="center"/>
    </xf>
    <xf numFmtId="165" fontId="18" fillId="6" borderId="38" xfId="0" applyNumberFormat="1" applyFont="1" applyFill="1" applyBorder="1" applyAlignment="1">
      <alignment vertical="center"/>
    </xf>
    <xf numFmtId="0" fontId="41" fillId="0" borderId="20" xfId="0" applyFont="1" applyBorder="1" applyAlignment="1">
      <alignment horizontal="right" vertical="center"/>
    </xf>
    <xf numFmtId="0" fontId="41" fillId="0" borderId="21" xfId="0" applyFont="1" applyBorder="1" applyAlignment="1">
      <alignment horizontal="right" vertical="center"/>
    </xf>
    <xf numFmtId="0" fontId="41" fillId="0" borderId="22" xfId="0" applyFont="1" applyBorder="1" applyAlignment="1">
      <alignment horizontal="right" vertical="center"/>
    </xf>
    <xf numFmtId="165" fontId="19" fillId="8" borderId="0" xfId="0" applyNumberFormat="1" applyFont="1" applyFill="1" applyAlignment="1">
      <alignment vertical="center"/>
    </xf>
    <xf numFmtId="165" fontId="19" fillId="8" borderId="31" xfId="0" applyNumberFormat="1" applyFont="1" applyFill="1" applyBorder="1" applyAlignment="1">
      <alignment vertical="center"/>
    </xf>
    <xf numFmtId="165" fontId="19" fillId="8" borderId="34" xfId="0" applyNumberFormat="1" applyFont="1" applyFill="1" applyBorder="1" applyAlignment="1">
      <alignment vertical="center"/>
    </xf>
    <xf numFmtId="165" fontId="19" fillId="8" borderId="35" xfId="0" applyNumberFormat="1" applyFont="1" applyFill="1" applyBorder="1" applyAlignment="1">
      <alignment vertical="center"/>
    </xf>
    <xf numFmtId="165" fontId="19" fillId="8" borderId="33" xfId="0" applyNumberFormat="1" applyFont="1" applyFill="1" applyBorder="1" applyAlignment="1">
      <alignment vertical="center"/>
    </xf>
    <xf numFmtId="165" fontId="19" fillId="8" borderId="36" xfId="0" applyNumberFormat="1" applyFont="1" applyFill="1" applyBorder="1" applyAlignment="1">
      <alignment vertical="center"/>
    </xf>
    <xf numFmtId="165" fontId="42" fillId="0" borderId="37" xfId="0" applyNumberFormat="1" applyFont="1" applyBorder="1" applyAlignment="1">
      <alignment vertical="center"/>
    </xf>
    <xf numFmtId="165" fontId="42" fillId="0" borderId="38" xfId="0" applyNumberFormat="1" applyFont="1" applyBorder="1" applyAlignment="1">
      <alignment vertical="center"/>
    </xf>
    <xf numFmtId="165" fontId="42" fillId="0" borderId="39" xfId="0" applyNumberFormat="1" applyFont="1" applyBorder="1" applyAlignment="1">
      <alignment vertical="center"/>
    </xf>
    <xf numFmtId="165" fontId="0" fillId="0" borderId="0" xfId="0" applyNumberFormat="1" applyAlignment="1">
      <alignment vertical="center"/>
    </xf>
    <xf numFmtId="169" fontId="18" fillId="0" borderId="0" xfId="0" applyNumberFormat="1" applyFont="1" applyAlignment="1">
      <alignment horizontal="center" vertical="center"/>
    </xf>
    <xf numFmtId="169" fontId="18" fillId="0" borderId="57" xfId="0" applyNumberFormat="1" applyFont="1" applyBorder="1" applyAlignment="1">
      <alignment horizontal="center" vertical="center"/>
    </xf>
    <xf numFmtId="169" fontId="18" fillId="0" borderId="52" xfId="0" applyNumberFormat="1" applyFont="1" applyBorder="1" applyAlignment="1">
      <alignment horizontal="center" vertical="center"/>
    </xf>
    <xf numFmtId="169" fontId="18" fillId="0" borderId="53" xfId="0" applyNumberFormat="1" applyFont="1" applyBorder="1" applyAlignment="1">
      <alignment horizontal="center" vertical="center"/>
    </xf>
    <xf numFmtId="169" fontId="18" fillId="0" borderId="58" xfId="0" applyNumberFormat="1" applyFont="1" applyBorder="1" applyAlignment="1">
      <alignment horizontal="center" vertical="center"/>
    </xf>
    <xf numFmtId="169" fontId="18" fillId="0" borderId="54" xfId="0" applyNumberFormat="1" applyFont="1" applyBorder="1" applyAlignment="1">
      <alignment horizontal="center" vertical="center"/>
    </xf>
    <xf numFmtId="169" fontId="18" fillId="0" borderId="59" xfId="0" applyNumberFormat="1" applyFont="1" applyBorder="1" applyAlignment="1">
      <alignment horizontal="center" vertical="center"/>
    </xf>
    <xf numFmtId="169" fontId="18" fillId="0" borderId="60" xfId="0" applyNumberFormat="1" applyFont="1" applyBorder="1" applyAlignment="1">
      <alignment horizontal="center" vertical="center"/>
    </xf>
    <xf numFmtId="169" fontId="18" fillId="0" borderId="61" xfId="0" applyNumberFormat="1" applyFont="1" applyBorder="1" applyAlignment="1">
      <alignment horizontal="center" vertical="center"/>
    </xf>
    <xf numFmtId="0" fontId="18" fillId="5" borderId="0" xfId="0" applyFont="1" applyFill="1" applyAlignment="1">
      <alignment vertical="center"/>
    </xf>
    <xf numFmtId="169" fontId="18" fillId="5" borderId="0" xfId="0" applyNumberFormat="1" applyFont="1" applyFill="1" applyAlignment="1">
      <alignment horizontal="center" vertical="center"/>
    </xf>
    <xf numFmtId="170" fontId="18" fillId="4" borderId="0" xfId="0" applyNumberFormat="1" applyFont="1" applyFill="1"/>
    <xf numFmtId="0" fontId="18" fillId="6" borderId="0" xfId="0" applyFont="1" applyFill="1"/>
    <xf numFmtId="3" fontId="19" fillId="0" borderId="34" xfId="0" applyNumberFormat="1" applyFont="1" applyBorder="1" applyAlignment="1">
      <alignment vertical="center"/>
    </xf>
    <xf numFmtId="3" fontId="19" fillId="0" borderId="38" xfId="0" applyNumberFormat="1" applyFont="1" applyBorder="1" applyAlignment="1">
      <alignment vertical="center"/>
    </xf>
    <xf numFmtId="165" fontId="18" fillId="3" borderId="0" xfId="0" applyNumberFormat="1" applyFont="1" applyFill="1"/>
    <xf numFmtId="167" fontId="8" fillId="6" borderId="16" xfId="0" applyNumberFormat="1" applyFont="1" applyFill="1" applyBorder="1"/>
    <xf numFmtId="167" fontId="0" fillId="11" borderId="0" xfId="2" applyNumberFormat="1" applyFont="1" applyFill="1"/>
    <xf numFmtId="0" fontId="47" fillId="0" borderId="0" xfId="0" applyFont="1" applyAlignment="1">
      <alignment vertical="center"/>
    </xf>
    <xf numFmtId="0" fontId="48" fillId="0" borderId="0" xfId="0" applyFont="1" applyAlignment="1">
      <alignment vertical="center"/>
    </xf>
    <xf numFmtId="0" fontId="49" fillId="0" borderId="0" xfId="0" applyFont="1"/>
    <xf numFmtId="0" fontId="48" fillId="0" borderId="34" xfId="0" applyFont="1" applyBorder="1" applyAlignment="1">
      <alignment vertical="center"/>
    </xf>
    <xf numFmtId="165" fontId="47" fillId="12" borderId="34" xfId="0" applyNumberFormat="1" applyFont="1" applyFill="1" applyBorder="1" applyAlignment="1">
      <alignment vertical="center"/>
    </xf>
    <xf numFmtId="165" fontId="48" fillId="13" borderId="0" xfId="0" applyNumberFormat="1" applyFont="1" applyFill="1" applyAlignment="1">
      <alignment vertical="center"/>
    </xf>
    <xf numFmtId="165" fontId="48" fillId="6" borderId="0" xfId="0" applyNumberFormat="1" applyFont="1" applyFill="1" applyAlignment="1">
      <alignment vertical="center"/>
    </xf>
    <xf numFmtId="165" fontId="47" fillId="14" borderId="34" xfId="0" applyNumberFormat="1" applyFont="1" applyFill="1" applyBorder="1" applyAlignment="1">
      <alignment vertical="center"/>
    </xf>
    <xf numFmtId="165" fontId="48" fillId="14" borderId="0" xfId="0" applyNumberFormat="1" applyFont="1" applyFill="1" applyAlignment="1">
      <alignment vertical="center"/>
    </xf>
    <xf numFmtId="165" fontId="48" fillId="3" borderId="0" xfId="0" applyNumberFormat="1" applyFont="1" applyFill="1" applyAlignment="1">
      <alignment vertical="center"/>
    </xf>
    <xf numFmtId="10" fontId="48" fillId="3" borderId="0" xfId="2" applyNumberFormat="1" applyFont="1" applyFill="1" applyBorder="1" applyAlignment="1">
      <alignment vertical="center"/>
    </xf>
    <xf numFmtId="0" fontId="49" fillId="0" borderId="31" xfId="0" applyFont="1" applyBorder="1"/>
    <xf numFmtId="0" fontId="49" fillId="3" borderId="35" xfId="0" applyFont="1" applyFill="1" applyBorder="1"/>
    <xf numFmtId="0" fontId="49" fillId="0" borderId="33" xfId="0" applyFont="1" applyBorder="1"/>
    <xf numFmtId="0" fontId="49" fillId="3" borderId="36" xfId="0" applyFont="1" applyFill="1" applyBorder="1"/>
    <xf numFmtId="0" fontId="49" fillId="0" borderId="37" xfId="0" applyFont="1" applyBorder="1"/>
    <xf numFmtId="0" fontId="49" fillId="3" borderId="39" xfId="0" applyFont="1" applyFill="1" applyBorder="1"/>
    <xf numFmtId="0" fontId="0" fillId="3" borderId="36" xfId="0" applyFill="1" applyBorder="1"/>
    <xf numFmtId="0" fontId="0" fillId="3" borderId="39" xfId="0" applyFill="1" applyBorder="1"/>
    <xf numFmtId="165" fontId="0" fillId="3" borderId="24" xfId="0" applyNumberFormat="1" applyFill="1" applyBorder="1"/>
    <xf numFmtId="0" fontId="50" fillId="0" borderId="0" xfId="0" applyFont="1" applyAlignment="1">
      <alignment vertical="center"/>
    </xf>
    <xf numFmtId="0" fontId="49" fillId="0" borderId="0" xfId="0" applyFont="1" applyAlignment="1">
      <alignment vertical="center"/>
    </xf>
    <xf numFmtId="165" fontId="49" fillId="3" borderId="12" xfId="0" applyNumberFormat="1" applyFont="1" applyFill="1" applyBorder="1" applyAlignment="1">
      <alignment vertical="center"/>
    </xf>
    <xf numFmtId="165" fontId="49" fillId="4" borderId="14" xfId="0" applyNumberFormat="1" applyFont="1" applyFill="1" applyBorder="1" applyAlignment="1">
      <alignment vertical="center"/>
    </xf>
    <xf numFmtId="171" fontId="49" fillId="6" borderId="14" xfId="0" applyNumberFormat="1" applyFont="1" applyFill="1" applyBorder="1" applyAlignment="1">
      <alignment vertical="center"/>
    </xf>
    <xf numFmtId="165" fontId="49" fillId="3" borderId="15" xfId="0" applyNumberFormat="1" applyFont="1" applyFill="1" applyBorder="1" applyAlignment="1">
      <alignment vertical="center"/>
    </xf>
    <xf numFmtId="165" fontId="49" fillId="4" borderId="16" xfId="0" applyNumberFormat="1" applyFont="1" applyFill="1" applyBorder="1" applyAlignment="1">
      <alignment vertical="center"/>
    </xf>
    <xf numFmtId="171" fontId="49" fillId="6" borderId="16" xfId="0" applyNumberFormat="1" applyFont="1" applyFill="1" applyBorder="1" applyAlignment="1">
      <alignment vertical="center"/>
    </xf>
    <xf numFmtId="165" fontId="49" fillId="3" borderId="17" xfId="0" applyNumberFormat="1" applyFont="1" applyFill="1" applyBorder="1" applyAlignment="1">
      <alignment vertical="center"/>
    </xf>
    <xf numFmtId="165" fontId="49" fillId="4" borderId="19" xfId="0" applyNumberFormat="1" applyFont="1" applyFill="1" applyBorder="1" applyAlignment="1">
      <alignment vertical="center"/>
    </xf>
    <xf numFmtId="171" fontId="49" fillId="6" borderId="19" xfId="0" applyNumberFormat="1" applyFont="1" applyFill="1" applyBorder="1" applyAlignment="1">
      <alignment vertical="center"/>
    </xf>
    <xf numFmtId="0" fontId="51" fillId="0" borderId="0" xfId="0" applyFont="1" applyAlignment="1">
      <alignment vertical="center"/>
    </xf>
    <xf numFmtId="165" fontId="29" fillId="0" borderId="12" xfId="0" applyNumberFormat="1" applyFont="1" applyBorder="1" applyAlignment="1">
      <alignment vertical="center"/>
    </xf>
    <xf numFmtId="165" fontId="29" fillId="0" borderId="13" xfId="0" applyNumberFormat="1" applyFont="1" applyBorder="1" applyAlignment="1">
      <alignment vertical="center"/>
    </xf>
    <xf numFmtId="165" fontId="29" fillId="0" borderId="14" xfId="0" applyNumberFormat="1" applyFont="1" applyBorder="1" applyAlignment="1">
      <alignment vertical="center"/>
    </xf>
    <xf numFmtId="165" fontId="29" fillId="0" borderId="15" xfId="0" applyNumberFormat="1" applyFont="1" applyBorder="1" applyAlignment="1">
      <alignment vertical="center"/>
    </xf>
    <xf numFmtId="165" fontId="29" fillId="0" borderId="16" xfId="0" applyNumberFormat="1" applyFont="1" applyBorder="1" applyAlignment="1">
      <alignment vertical="center"/>
    </xf>
    <xf numFmtId="171" fontId="29" fillId="0" borderId="23" xfId="0" applyNumberFormat="1" applyFont="1" applyBorder="1" applyAlignment="1">
      <alignment vertical="center"/>
    </xf>
    <xf numFmtId="171" fontId="29" fillId="0" borderId="24" xfId="0" applyNumberFormat="1" applyFont="1" applyBorder="1" applyAlignment="1">
      <alignment vertical="center"/>
    </xf>
    <xf numFmtId="171" fontId="29" fillId="0" borderId="25" xfId="0" applyNumberFormat="1" applyFont="1" applyBorder="1" applyAlignment="1">
      <alignment vertical="center"/>
    </xf>
    <xf numFmtId="172" fontId="0" fillId="0" borderId="0" xfId="0" applyNumberFormat="1"/>
    <xf numFmtId="167" fontId="8" fillId="4" borderId="0" xfId="2" applyNumberFormat="1" applyFont="1" applyFill="1"/>
    <xf numFmtId="167" fontId="8" fillId="6" borderId="0" xfId="2" applyNumberFormat="1" applyFont="1" applyFill="1"/>
  </cellXfs>
  <cellStyles count="4">
    <cellStyle name="Comma" xfId="1" builtinId="3"/>
    <cellStyle name="Normal" xfId="0" builtinId="0"/>
    <cellStyle name="Normal 2" xfId="3" xr:uid="{B16511F7-C8DA-478A-9168-2F03F7FA5EC9}"/>
    <cellStyle name="Percent" xfId="2" builtinId="5"/>
  </cellStyles>
  <dxfs count="4">
    <dxf>
      <fill>
        <patternFill>
          <bgColor theme="2"/>
        </patternFill>
      </fill>
    </dxf>
    <dxf>
      <fill>
        <patternFill>
          <bgColor theme="2"/>
        </patternFill>
      </fill>
    </dxf>
    <dxf>
      <font>
        <b val="0"/>
        <i val="0"/>
        <color auto="1"/>
      </font>
      <fill>
        <patternFill>
          <bgColor theme="2"/>
        </patternFill>
      </fill>
    </dxf>
    <dxf>
      <font>
        <b val="0"/>
        <i val="0"/>
        <color auto="1"/>
      </font>
      <fill>
        <patternFill>
          <bgColor theme="8" tint="0.79998168889431442"/>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346194</xdr:colOff>
      <xdr:row>32</xdr:row>
      <xdr:rowOff>71231</xdr:rowOff>
    </xdr:from>
    <xdr:to>
      <xdr:col>14</xdr:col>
      <xdr:colOff>1252436</xdr:colOff>
      <xdr:row>46</xdr:row>
      <xdr:rowOff>161192</xdr:rowOff>
    </xdr:to>
    <xdr:sp macro="" textlink="">
      <xdr:nvSpPr>
        <xdr:cNvPr id="2" name="TextBox 1">
          <a:extLst>
            <a:ext uri="{FF2B5EF4-FFF2-40B4-BE49-F238E27FC236}">
              <a16:creationId xmlns:a16="http://schemas.microsoft.com/office/drawing/2014/main" id="{CE13FE5F-E137-480B-89D3-0AA847ACAA6A}"/>
            </a:ext>
          </a:extLst>
        </xdr:cNvPr>
        <xdr:cNvSpPr txBox="1"/>
      </xdr:nvSpPr>
      <xdr:spPr>
        <a:xfrm>
          <a:off x="7665790" y="6577539"/>
          <a:ext cx="8020684" cy="2859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a:t>
          </a:r>
          <a:r>
            <a:rPr lang="en-US" sz="1100" baseline="0"/>
            <a:t> benchmarks for parameter tuning</a:t>
          </a:r>
        </a:p>
        <a:p>
          <a:r>
            <a:rPr lang="en-US" sz="1100" b="1"/>
            <a:t>Dom Alloy% [F]</a:t>
          </a:r>
          <a:r>
            <a:rPr lang="en-US" sz="1100"/>
            <a:t>: proportion of wrought and foundry</a:t>
          </a:r>
          <a:r>
            <a:rPr lang="en-US" sz="1100" baseline="0"/>
            <a:t> alloys produced domestically</a:t>
          </a:r>
        </a:p>
        <a:p>
          <a:r>
            <a:rPr lang="en-US" sz="1100" b="1" baseline="0"/>
            <a:t>Direct Primary% </a:t>
          </a:r>
          <a:r>
            <a:rPr lang="en-US" sz="1100" b="1" baseline="0">
              <a:solidFill>
                <a:schemeClr val="dk1"/>
              </a:solidFill>
              <a:effectLst/>
              <a:latin typeface="+mn-lt"/>
              <a:ea typeface="+mn-ea"/>
              <a:cs typeface="+mn-cs"/>
            </a:rPr>
            <a:t>[M]</a:t>
          </a:r>
          <a:r>
            <a:rPr lang="en-US" sz="1100" baseline="0"/>
            <a:t>: proportion of domestic wrought and foundry alloys directly produced from primary aluminum</a:t>
          </a:r>
        </a:p>
        <a:p>
          <a:r>
            <a:rPr lang="en-US" sz="1100" b="1" baseline="0"/>
            <a:t>Sweet/kg-ingot% [O]: </a:t>
          </a:r>
          <a:r>
            <a:rPr lang="en-US" sz="1100" baseline="0"/>
            <a:t>kg of metal sweetener per kg alloy produced</a:t>
          </a:r>
        </a:p>
        <a:p>
          <a:r>
            <a:rPr lang="en-US" sz="1100" b="1" i="0" baseline="0">
              <a:solidFill>
                <a:schemeClr val="dk1"/>
              </a:solidFill>
              <a:effectLst/>
              <a:latin typeface="+mn-lt"/>
              <a:ea typeface="+mn-ea"/>
              <a:cs typeface="+mn-cs"/>
            </a:rPr>
            <a:t>Sweet/kg-in (x3) [U]</a:t>
          </a:r>
          <a:r>
            <a:rPr lang="en-US" sz="1100" b="0" i="0" baseline="0">
              <a:solidFill>
                <a:schemeClr val="dk1"/>
              </a:solidFill>
              <a:effectLst/>
              <a:latin typeface="+mn-lt"/>
              <a:ea typeface="+mn-ea"/>
              <a:cs typeface="+mn-cs"/>
            </a:rPr>
            <a:t>: kg of metal sweetener per kg inflow of R1 and R2</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Guides for parameter tuning</a:t>
          </a:r>
        </a:p>
        <a:p>
          <a:r>
            <a:rPr lang="en-US" sz="1100" b="0" i="0" baseline="0">
              <a:solidFill>
                <a:schemeClr val="dk1"/>
              </a:solidFill>
              <a:effectLst/>
              <a:latin typeface="+mn-lt"/>
              <a:ea typeface="+mn-ea"/>
              <a:cs typeface="+mn-cs"/>
            </a:rPr>
            <a:t>- if E-R1 and E-R2 become negative, that means direct primary required is greater than primary produced. Consider</a:t>
          </a:r>
        </a:p>
        <a:p>
          <a:r>
            <a:rPr lang="en-US" sz="1100" b="0" i="0" baseline="0">
              <a:solidFill>
                <a:schemeClr val="dk1"/>
              </a:solidFill>
              <a:effectLst/>
              <a:latin typeface="+mn-lt"/>
              <a:ea typeface="+mn-ea"/>
              <a:cs typeface="+mn-cs"/>
            </a:rPr>
            <a:t>    - tune down </a:t>
          </a:r>
          <a:r>
            <a:rPr lang="en-US" sz="1100" b="1">
              <a:solidFill>
                <a:schemeClr val="dk1"/>
              </a:solidFill>
              <a:effectLst/>
              <a:latin typeface="+mn-lt"/>
              <a:ea typeface="+mn-ea"/>
              <a:cs typeface="+mn-cs"/>
            </a:rPr>
            <a:t>Dom Alloy%</a:t>
          </a:r>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    - tune down </a:t>
          </a:r>
          <a:r>
            <a:rPr lang="en-US" sz="1100" b="1" baseline="0">
              <a:solidFill>
                <a:schemeClr val="dk1"/>
              </a:solidFill>
              <a:effectLst/>
              <a:latin typeface="+mn-lt"/>
              <a:ea typeface="+mn-ea"/>
              <a:cs typeface="+mn-cs"/>
            </a:rPr>
            <a:t>Direct Primary%</a:t>
          </a:r>
        </a:p>
        <a:p>
          <a:endParaRPr lang="en-US" sz="1100" b="1"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 if the loss of R1 or R2 becomes negative, that implies the inflow is less than outflow. Consider:</a:t>
          </a:r>
        </a:p>
        <a:p>
          <a:r>
            <a:rPr lang="en-US" sz="1100" b="0" i="0" baseline="0">
              <a:solidFill>
                <a:schemeClr val="dk1"/>
              </a:solidFill>
              <a:effectLst/>
              <a:latin typeface="+mn-lt"/>
              <a:ea typeface="+mn-ea"/>
              <a:cs typeface="+mn-cs"/>
            </a:rPr>
            <a:t>    - tune down inflow required by increasing </a:t>
          </a:r>
          <a:r>
            <a:rPr lang="en-US" sz="1100" b="1" i="0" baseline="0">
              <a:solidFill>
                <a:schemeClr val="dk1"/>
              </a:solidFill>
              <a:effectLst/>
              <a:latin typeface="+mn-lt"/>
              <a:ea typeface="+mn-ea"/>
              <a:cs typeface="+mn-cs"/>
            </a:rPr>
            <a:t>Sweet/kg-in (x3)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    - tune down the </a:t>
          </a:r>
          <a:r>
            <a:rPr lang="en-US" sz="1100" b="1" i="0" baseline="0">
              <a:solidFill>
                <a:schemeClr val="dk1"/>
              </a:solidFill>
              <a:effectLst/>
              <a:latin typeface="+mn-lt"/>
              <a:ea typeface="+mn-ea"/>
              <a:cs typeface="+mn-cs"/>
            </a:rPr>
            <a:t>Dom Alloy% </a:t>
          </a:r>
          <a:r>
            <a:rPr lang="en-US" sz="1100" b="0" i="0" baseline="0">
              <a:solidFill>
                <a:schemeClr val="dk1"/>
              </a:solidFill>
              <a:effectLst/>
              <a:latin typeface="+mn-lt"/>
              <a:ea typeface="+mn-ea"/>
              <a:cs typeface="+mn-cs"/>
            </a:rPr>
            <a:t>to reduce domestic ingot needed</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    - tune up </a:t>
          </a:r>
          <a:r>
            <a:rPr lang="en-US" sz="1100" b="1" i="0" baseline="0">
              <a:solidFill>
                <a:schemeClr val="dk1"/>
              </a:solidFill>
              <a:effectLst/>
              <a:latin typeface="+mn-lt"/>
              <a:ea typeface="+mn-ea"/>
              <a:cs typeface="+mn-cs"/>
            </a:rPr>
            <a:t>Direct Primary % </a:t>
          </a:r>
          <a:r>
            <a:rPr lang="en-US" sz="1100" b="0" i="0" baseline="0">
              <a:solidFill>
                <a:schemeClr val="dk1"/>
              </a:solidFill>
              <a:effectLst/>
              <a:latin typeface="+mn-lt"/>
              <a:ea typeface="+mn-ea"/>
              <a:cs typeface="+mn-cs"/>
            </a:rPr>
            <a:t>to reduce secondary ingot needed</a:t>
          </a:r>
          <a:endParaRPr lang="en-US"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    - tune down </a:t>
          </a:r>
          <a:r>
            <a:rPr lang="en-US" sz="1100" b="1" baseline="0">
              <a:solidFill>
                <a:schemeClr val="dk1"/>
              </a:solidFill>
              <a:effectLst/>
              <a:latin typeface="+mn-lt"/>
              <a:ea typeface="+mn-ea"/>
              <a:cs typeface="+mn-cs"/>
            </a:rPr>
            <a:t>Sweet/kg-out% </a:t>
          </a:r>
          <a:r>
            <a:rPr lang="en-US" sz="1100" b="0" baseline="0">
              <a:solidFill>
                <a:schemeClr val="dk1"/>
              </a:solidFill>
              <a:effectLst/>
              <a:latin typeface="+mn-lt"/>
              <a:ea typeface="+mn-ea"/>
              <a:cs typeface="+mn-cs"/>
            </a:rPr>
            <a:t> to reduce sweetener needed</a:t>
          </a:r>
          <a:endParaRPr lang="en-US" b="1">
            <a:effectLst/>
          </a:endParaRPr>
        </a:p>
        <a:p>
          <a:endParaRPr lang="en-US" sz="1100" b="0" i="0" baseline="0">
            <a:solidFill>
              <a:schemeClr val="dk1"/>
            </a:solidFill>
            <a:effectLst/>
            <a:latin typeface="+mn-lt"/>
            <a:ea typeface="+mn-ea"/>
            <a:cs typeface="+mn-cs"/>
          </a:endParaRPr>
        </a:p>
        <a:p>
          <a:endParaRPr lang="en-US" sz="1100" b="0" i="0" baseline="0">
            <a:solidFill>
              <a:schemeClr val="dk1"/>
            </a:solidFill>
            <a:effectLst/>
            <a:latin typeface="+mn-lt"/>
            <a:ea typeface="+mn-ea"/>
            <a:cs typeface="+mn-cs"/>
          </a:endParaRPr>
        </a:p>
        <a:p>
          <a:endParaRPr lang="en-US" sz="1100" b="0" i="0" baseline="0">
            <a:solidFill>
              <a:schemeClr val="dk1"/>
            </a:solidFill>
            <a:effectLst/>
            <a:latin typeface="+mn-lt"/>
            <a:ea typeface="+mn-ea"/>
            <a:cs typeface="+mn-cs"/>
          </a:endParaRPr>
        </a:p>
        <a:p>
          <a:endParaRPr lang="en-US" sz="1100" b="0" i="0" baseline="0">
            <a:solidFill>
              <a:schemeClr val="dk1"/>
            </a:solidFill>
            <a:effectLst/>
            <a:latin typeface="+mn-lt"/>
            <a:ea typeface="+mn-ea"/>
            <a:cs typeface="+mn-cs"/>
          </a:endParaRPr>
        </a:p>
        <a:p>
          <a:endParaRPr lang="en-US" sz="1100" b="0" i="0" baseline="0">
            <a:solidFill>
              <a:schemeClr val="dk1"/>
            </a:solidFill>
            <a:effectLst/>
            <a:latin typeface="+mn-lt"/>
            <a:ea typeface="+mn-ea"/>
            <a:cs typeface="+mn-cs"/>
          </a:endParaRPr>
        </a:p>
        <a:p>
          <a:endParaRPr lang="en-US" sz="1100"/>
        </a:p>
      </xdr:txBody>
    </xdr:sp>
    <xdr:clientData/>
  </xdr:twoCellAnchor>
  <xdr:twoCellAnchor>
    <xdr:from>
      <xdr:col>18</xdr:col>
      <xdr:colOff>56124</xdr:colOff>
      <xdr:row>13</xdr:row>
      <xdr:rowOff>142727</xdr:rowOff>
    </xdr:from>
    <xdr:to>
      <xdr:col>20</xdr:col>
      <xdr:colOff>549519</xdr:colOff>
      <xdr:row>19</xdr:row>
      <xdr:rowOff>124557</xdr:rowOff>
    </xdr:to>
    <xdr:sp macro="" textlink="">
      <xdr:nvSpPr>
        <xdr:cNvPr id="3" name="TextBox 2">
          <a:extLst>
            <a:ext uri="{FF2B5EF4-FFF2-40B4-BE49-F238E27FC236}">
              <a16:creationId xmlns:a16="http://schemas.microsoft.com/office/drawing/2014/main" id="{85B950E4-10E6-D5AD-B653-8564F85BF34E}"/>
            </a:ext>
          </a:extLst>
        </xdr:cNvPr>
        <xdr:cNvSpPr txBox="1"/>
      </xdr:nvSpPr>
      <xdr:spPr>
        <a:xfrm>
          <a:off x="19772874" y="2787746"/>
          <a:ext cx="4076260" cy="1198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Higher v% leads to:</a:t>
          </a:r>
        </a:p>
        <a:p>
          <a:r>
            <a:rPr lang="en-US" sz="1100"/>
            <a:t>- lower import of pre-consumer scrap (&lt;750)</a:t>
          </a:r>
        </a:p>
        <a:p>
          <a:r>
            <a:rPr lang="en-US" sz="1100"/>
            <a:t>- higher dom recycling rate of post-consumer scrap</a:t>
          </a:r>
        </a:p>
        <a:p>
          <a:r>
            <a:rPr lang="en-US" sz="1100"/>
            <a:t>    - lower export of post-consumer scrap</a:t>
          </a:r>
        </a:p>
        <a:p>
          <a:endParaRPr lang="en-US" sz="1100"/>
        </a:p>
        <a:p>
          <a:r>
            <a:rPr lang="en-US" sz="1100"/>
            <a:t>upperbound: available domestic preconsumer scrap/R1 target</a:t>
          </a:r>
        </a:p>
      </xdr:txBody>
    </xdr:sp>
    <xdr:clientData/>
  </xdr:twoCellAnchor>
  <xdr:twoCellAnchor>
    <xdr:from>
      <xdr:col>20</xdr:col>
      <xdr:colOff>549519</xdr:colOff>
      <xdr:row>10</xdr:row>
      <xdr:rowOff>173648</xdr:rowOff>
    </xdr:from>
    <xdr:to>
      <xdr:col>20</xdr:col>
      <xdr:colOff>1040717</xdr:colOff>
      <xdr:row>16</xdr:row>
      <xdr:rowOff>148296</xdr:rowOff>
    </xdr:to>
    <xdr:cxnSp macro="">
      <xdr:nvCxnSpPr>
        <xdr:cNvPr id="5" name="Straight Arrow Connector 4">
          <a:extLst>
            <a:ext uri="{FF2B5EF4-FFF2-40B4-BE49-F238E27FC236}">
              <a16:creationId xmlns:a16="http://schemas.microsoft.com/office/drawing/2014/main" id="{620928FA-260C-07B0-5DB5-7CFB26423C51}"/>
            </a:ext>
          </a:extLst>
        </xdr:cNvPr>
        <xdr:cNvCxnSpPr>
          <a:stCxn id="3" idx="3"/>
        </xdr:cNvCxnSpPr>
      </xdr:nvCxnSpPr>
      <xdr:spPr>
        <a:xfrm flipV="1">
          <a:off x="23849134" y="2210533"/>
          <a:ext cx="491198" cy="1176263"/>
        </a:xfrm>
        <a:prstGeom prst="straightConnector1">
          <a:avLst/>
        </a:prstGeom>
        <a:ln>
          <a:solidFill>
            <a:srgbClr val="0000CC"/>
          </a:solidFill>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9</xdr:col>
      <xdr:colOff>21243</xdr:colOff>
      <xdr:row>0</xdr:row>
      <xdr:rowOff>152400</xdr:rowOff>
    </xdr:from>
    <xdr:ext cx="9867872" cy="3258897"/>
    <xdr:pic>
      <xdr:nvPicPr>
        <xdr:cNvPr id="2" name="Picture 1">
          <a:extLst>
            <a:ext uri="{FF2B5EF4-FFF2-40B4-BE49-F238E27FC236}">
              <a16:creationId xmlns:a16="http://schemas.microsoft.com/office/drawing/2014/main" id="{30EA7B50-3F28-4267-8F62-466E8BA8D9D5}"/>
            </a:ext>
          </a:extLst>
        </xdr:cNvPr>
        <xdr:cNvPicPr>
          <a:picLocks noChangeAspect="1"/>
        </xdr:cNvPicPr>
      </xdr:nvPicPr>
      <xdr:blipFill>
        <a:blip xmlns:r="http://schemas.openxmlformats.org/officeDocument/2006/relationships" r:embed="rId1"/>
        <a:stretch>
          <a:fillRect/>
        </a:stretch>
      </xdr:blipFill>
      <xdr:spPr>
        <a:xfrm>
          <a:off x="6275358" y="152400"/>
          <a:ext cx="9867872" cy="325889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4</xdr:col>
      <xdr:colOff>148590</xdr:colOff>
      <xdr:row>4</xdr:row>
      <xdr:rowOff>152401</xdr:rowOff>
    </xdr:from>
    <xdr:to>
      <xdr:col>12</xdr:col>
      <xdr:colOff>415290</xdr:colOff>
      <xdr:row>10</xdr:row>
      <xdr:rowOff>186691</xdr:rowOff>
    </xdr:to>
    <xdr:sp macro="" textlink="">
      <xdr:nvSpPr>
        <xdr:cNvPr id="2" name="TextBox 1">
          <a:extLst>
            <a:ext uri="{FF2B5EF4-FFF2-40B4-BE49-F238E27FC236}">
              <a16:creationId xmlns:a16="http://schemas.microsoft.com/office/drawing/2014/main" id="{3A7B08CF-B25A-4B29-726E-B2FBA47CB40B}"/>
            </a:ext>
          </a:extLst>
        </xdr:cNvPr>
        <xdr:cNvSpPr txBox="1"/>
      </xdr:nvSpPr>
      <xdr:spPr>
        <a:xfrm>
          <a:off x="5606415" y="952501"/>
          <a:ext cx="5600700" cy="1234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Data</a:t>
          </a:r>
          <a:r>
            <a:rPr lang="en-US" sz="1100" baseline="0"/>
            <a:t> Tab</a:t>
          </a:r>
          <a:r>
            <a:rPr lang="en-US" sz="1100"/>
            <a:t> - Solver</a:t>
          </a:r>
        </a:p>
        <a:p>
          <a:r>
            <a:rPr lang="en-US" sz="1100"/>
            <a:t>- Set objective to the equation [C7]</a:t>
          </a:r>
        </a:p>
        <a:p>
          <a:endParaRPr lang="en-US" sz="1100"/>
        </a:p>
        <a:p>
          <a:r>
            <a:rPr lang="en-US" sz="1100"/>
            <a:t>- Manually</a:t>
          </a:r>
          <a:r>
            <a:rPr lang="en-US" sz="1100" baseline="0"/>
            <a:t> copy and paste [B7] to "value of"</a:t>
          </a:r>
        </a:p>
        <a:p>
          <a:endParaRPr lang="en-US" sz="1100" baseline="0"/>
        </a:p>
        <a:p>
          <a:r>
            <a:rPr lang="en-US" sz="1100" baseline="0"/>
            <a:t>- Set "By changing variable cells" [C4]</a:t>
          </a:r>
        </a:p>
        <a:p>
          <a:endParaRPr lang="en-US" sz="1100" baseline="0"/>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Deng, Sidi" id="{3070727E-D8C6-AC46-A271-D89AC8D2C176}" userId="S::deng100@purdue.edu::8180ff50-bc8d-41c3-a1c4-96072ee660a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X1" dT="2024-02-09T17:04:17.79" personId="{3070727E-D8C6-AC46-A271-D89AC8D2C176}" id="{53FA3EC6-C839-B645-99F1-DB6A67BF538A}">
    <text xml:space="preserve">= This is the demand for domestically fabricated product produced from domestic semi.
P1 - P8 will import extra semi to produce more product.
Moving forward, the total product domestically fabricated breaks down to
- domestically consumed
- export
</text>
  </threadedComment>
  <threadedComment ref="AD1" dT="2024-02-09T17:00:36.53" personId="{3070727E-D8C6-AC46-A271-D89AC8D2C176}" id="{63049DE3-7C2E-FC40-A119-045392A6547D}">
    <text>Conversion Factors for MFA - Sheet1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65A0B-5C52-8B4F-9DD2-B0F640161E1C}">
  <dimension ref="A1:AJ52"/>
  <sheetViews>
    <sheetView tabSelected="1" zoomScale="115" zoomScaleNormal="115" workbookViewId="0">
      <pane xSplit="1" topLeftCell="X1" activePane="topRight" state="frozen"/>
      <selection pane="topRight" activeCell="AG7" sqref="AG7"/>
    </sheetView>
  </sheetViews>
  <sheetFormatPr defaultColWidth="11" defaultRowHeight="15.6"/>
  <cols>
    <col min="2" max="3" width="11.19921875" bestFit="1" customWidth="1"/>
    <col min="4" max="4" width="12.69921875" bestFit="1" customWidth="1"/>
    <col min="5" max="5" width="11.69921875" bestFit="1" customWidth="1"/>
    <col min="6" max="9" width="12.69921875" bestFit="1" customWidth="1"/>
    <col min="10" max="11" width="11.69921875" bestFit="1" customWidth="1"/>
    <col min="12" max="13" width="12.69921875" bestFit="1" customWidth="1"/>
    <col min="14" max="18" width="11.69921875" bestFit="1" customWidth="1"/>
    <col min="19" max="19" width="11.19921875" bestFit="1" customWidth="1"/>
    <col min="20" max="20" width="11.69921875" bestFit="1" customWidth="1"/>
    <col min="21" max="21" width="11.19921875" bestFit="1" customWidth="1"/>
    <col min="22" max="23" width="11.69921875" bestFit="1" customWidth="1"/>
    <col min="25" max="25" width="10.69921875" style="36"/>
    <col min="26" max="26" width="11" style="36"/>
    <col min="28" max="28" width="10.69921875" style="36"/>
    <col min="30" max="30" width="10.69921875" style="18"/>
    <col min="31" max="31" width="11" customWidth="1"/>
    <col min="33" max="33" width="10.69921875" style="18"/>
  </cols>
  <sheetData>
    <row r="1" spans="1:36" ht="16.2" thickBot="1">
      <c r="A1" s="174" t="s">
        <v>72</v>
      </c>
      <c r="B1" s="2" t="s">
        <v>0</v>
      </c>
      <c r="C1" s="2" t="s">
        <v>1</v>
      </c>
      <c r="D1" s="2" t="s">
        <v>2</v>
      </c>
      <c r="E1" s="2" t="s">
        <v>3</v>
      </c>
      <c r="F1" s="2" t="s">
        <v>4</v>
      </c>
      <c r="G1" s="2" t="s">
        <v>5</v>
      </c>
      <c r="H1" s="2" t="s">
        <v>6</v>
      </c>
      <c r="I1" s="2" t="s">
        <v>7</v>
      </c>
      <c r="J1" s="2" t="s">
        <v>8</v>
      </c>
      <c r="K1" s="2" t="s">
        <v>9</v>
      </c>
      <c r="L1" s="2" t="s">
        <v>78</v>
      </c>
      <c r="M1" s="2" t="s">
        <v>10</v>
      </c>
      <c r="N1" s="2" t="s">
        <v>11</v>
      </c>
      <c r="O1" s="2" t="s">
        <v>12</v>
      </c>
      <c r="P1" s="2" t="s">
        <v>13</v>
      </c>
      <c r="Q1" s="2" t="s">
        <v>14</v>
      </c>
      <c r="R1" s="2" t="s">
        <v>15</v>
      </c>
      <c r="S1" s="2" t="s">
        <v>16</v>
      </c>
      <c r="T1" s="2" t="s">
        <v>17</v>
      </c>
      <c r="U1" s="2" t="s">
        <v>18</v>
      </c>
      <c r="V1" s="2" t="s">
        <v>19</v>
      </c>
      <c r="W1" s="33" t="s">
        <v>20</v>
      </c>
      <c r="X1" s="6" t="s">
        <v>21</v>
      </c>
      <c r="Y1" s="39" t="s">
        <v>75</v>
      </c>
      <c r="Z1" s="39" t="s">
        <v>89</v>
      </c>
      <c r="AA1" s="33" t="s">
        <v>50</v>
      </c>
      <c r="AB1" s="40" t="s">
        <v>26</v>
      </c>
      <c r="AC1" t="s">
        <v>74</v>
      </c>
      <c r="AD1" s="37" t="s">
        <v>73</v>
      </c>
      <c r="AE1" t="s">
        <v>61</v>
      </c>
      <c r="AF1" t="s">
        <v>158</v>
      </c>
      <c r="AG1" s="18" t="s">
        <v>76</v>
      </c>
      <c r="AH1" t="s">
        <v>85</v>
      </c>
      <c r="AI1" t="s">
        <v>84</v>
      </c>
    </row>
    <row r="2" spans="1:36">
      <c r="A2" s="1" t="s">
        <v>0</v>
      </c>
      <c r="B2" s="27">
        <v>0</v>
      </c>
      <c r="C2" s="28">
        <v>0</v>
      </c>
      <c r="D2" s="89">
        <f>upstream!E2</f>
        <v>385.41176470588238</v>
      </c>
      <c r="E2" s="28">
        <v>0</v>
      </c>
      <c r="F2" s="28">
        <v>0</v>
      </c>
      <c r="G2" s="28">
        <v>0</v>
      </c>
      <c r="H2" s="28">
        <v>0</v>
      </c>
      <c r="I2" s="28">
        <v>0</v>
      </c>
      <c r="J2" s="28">
        <v>0</v>
      </c>
      <c r="K2" s="28">
        <v>0</v>
      </c>
      <c r="L2" s="28">
        <v>0</v>
      </c>
      <c r="M2" s="28">
        <v>0</v>
      </c>
      <c r="N2" s="28">
        <v>0</v>
      </c>
      <c r="O2" s="28">
        <v>0</v>
      </c>
      <c r="P2" s="28">
        <v>0</v>
      </c>
      <c r="Q2" s="28">
        <v>0</v>
      </c>
      <c r="R2" s="28">
        <v>0</v>
      </c>
      <c r="S2" s="28">
        <v>0</v>
      </c>
      <c r="T2" s="28">
        <v>0</v>
      </c>
      <c r="U2" s="28">
        <v>0</v>
      </c>
      <c r="V2" s="28">
        <v>0</v>
      </c>
      <c r="W2" s="34">
        <v>0</v>
      </c>
      <c r="X2" s="6">
        <v>0</v>
      </c>
      <c r="Y2" s="41">
        <v>0</v>
      </c>
      <c r="Z2" s="113">
        <f>upstream!E3</f>
        <v>302.8235294117647</v>
      </c>
      <c r="AA2" s="167">
        <f>upstream!E4</f>
        <v>37.814705882353017</v>
      </c>
      <c r="AB2" s="80">
        <f>SUM(X2:AA2)</f>
        <v>340.63823529411769</v>
      </c>
      <c r="AC2" s="178">
        <f>SUM(B2:AA2)</f>
        <v>726.05000000000007</v>
      </c>
      <c r="AD2" s="179">
        <f>AE2/AC2</f>
        <v>0.94791721522986983</v>
      </c>
      <c r="AE2" s="163">
        <f t="shared" ref="AE2:AE7" si="0">SUM(B2:Z2)</f>
        <v>688.23529411764707</v>
      </c>
    </row>
    <row r="3" spans="1:36">
      <c r="A3" s="1" t="s">
        <v>1</v>
      </c>
      <c r="B3" s="29">
        <v>0</v>
      </c>
      <c r="C3" s="30">
        <v>0</v>
      </c>
      <c r="D3" s="30">
        <v>0</v>
      </c>
      <c r="E3" s="79">
        <f>upstream!W7</f>
        <v>2220.9309612506368</v>
      </c>
      <c r="F3" s="79">
        <f>upstream!W8</f>
        <v>1638.0024244678445</v>
      </c>
      <c r="G3" s="30">
        <v>0</v>
      </c>
      <c r="H3" s="30">
        <v>0</v>
      </c>
      <c r="I3" s="30">
        <v>0</v>
      </c>
      <c r="J3" s="30">
        <v>0</v>
      </c>
      <c r="K3" s="30">
        <v>0</v>
      </c>
      <c r="L3" s="30">
        <v>0</v>
      </c>
      <c r="M3" s="30">
        <v>0</v>
      </c>
      <c r="N3" s="30">
        <v>0</v>
      </c>
      <c r="O3" s="30">
        <v>0</v>
      </c>
      <c r="P3" s="30">
        <v>0</v>
      </c>
      <c r="Q3" s="30">
        <v>0</v>
      </c>
      <c r="R3" s="30">
        <v>0</v>
      </c>
      <c r="S3" s="30">
        <v>0</v>
      </c>
      <c r="T3" s="30">
        <v>0</v>
      </c>
      <c r="U3" s="30">
        <v>0</v>
      </c>
      <c r="V3" s="30">
        <v>0</v>
      </c>
      <c r="W3" s="35">
        <v>0</v>
      </c>
      <c r="X3" s="9">
        <v>0</v>
      </c>
      <c r="Y3" s="36">
        <v>0</v>
      </c>
      <c r="Z3" s="78">
        <f>upstream!M3</f>
        <v>1894.6815776343117</v>
      </c>
      <c r="AA3" s="10">
        <v>0</v>
      </c>
      <c r="AB3" s="81">
        <f t="shared" ref="AB3:AB23" si="1">SUM(X3:AA3)</f>
        <v>1894.6815776343117</v>
      </c>
      <c r="AC3" s="180">
        <f t="shared" ref="AC3:AC8" si="2">SUM(B3:AA3)</f>
        <v>5753.614963352793</v>
      </c>
      <c r="AD3" s="181">
        <f>AE3/AC3</f>
        <v>1</v>
      </c>
      <c r="AE3" s="164">
        <f t="shared" si="0"/>
        <v>5753.614963352793</v>
      </c>
    </row>
    <row r="4" spans="1:36">
      <c r="A4" s="1" t="s">
        <v>2</v>
      </c>
      <c r="B4" s="29">
        <v>0</v>
      </c>
      <c r="C4" s="30">
        <v>0</v>
      </c>
      <c r="D4" s="30">
        <v>0</v>
      </c>
      <c r="E4" s="79">
        <f>upstream!H8</f>
        <v>31.353003942770073</v>
      </c>
      <c r="F4" s="79">
        <f>upstream!I8</f>
        <v>31.353003942770073</v>
      </c>
      <c r="G4" s="79">
        <f>upstream!F8</f>
        <v>715.8065484083844</v>
      </c>
      <c r="H4" s="79">
        <f>upstream!G8</f>
        <v>231.48744370607545</v>
      </c>
      <c r="I4" s="30">
        <v>0</v>
      </c>
      <c r="J4" s="30">
        <v>0</v>
      </c>
      <c r="K4" s="30">
        <v>0</v>
      </c>
      <c r="L4" s="30">
        <v>0</v>
      </c>
      <c r="M4" s="30">
        <v>0</v>
      </c>
      <c r="N4" s="30">
        <v>0</v>
      </c>
      <c r="O4" s="30">
        <v>0</v>
      </c>
      <c r="P4" s="30">
        <v>0</v>
      </c>
      <c r="Q4" s="30">
        <v>0</v>
      </c>
      <c r="R4" s="30">
        <v>0</v>
      </c>
      <c r="S4" s="30">
        <v>0</v>
      </c>
      <c r="T4" s="30">
        <v>0</v>
      </c>
      <c r="U4" s="30">
        <v>0</v>
      </c>
      <c r="V4" s="30">
        <v>0</v>
      </c>
      <c r="W4" s="35">
        <v>0</v>
      </c>
      <c r="X4" s="9">
        <v>0</v>
      </c>
      <c r="Y4" s="36">
        <v>0</v>
      </c>
      <c r="Z4" s="36">
        <v>0</v>
      </c>
      <c r="AA4" s="112">
        <f>upstream!E9</f>
        <v>15.031176470588207</v>
      </c>
      <c r="AB4" s="81">
        <f t="shared" si="1"/>
        <v>15.031176470588207</v>
      </c>
      <c r="AC4" s="180">
        <f t="shared" si="2"/>
        <v>1025.0311764705882</v>
      </c>
      <c r="AD4" s="181">
        <f>AE4/AC4</f>
        <v>0.98533588361444391</v>
      </c>
      <c r="AE4" s="164">
        <f t="shared" si="0"/>
        <v>1010</v>
      </c>
    </row>
    <row r="5" spans="1:36">
      <c r="A5" s="1" t="s">
        <v>3</v>
      </c>
      <c r="B5" s="29">
        <v>0</v>
      </c>
      <c r="C5" s="30">
        <v>0</v>
      </c>
      <c r="D5" s="30">
        <v>0</v>
      </c>
      <c r="E5" s="30">
        <v>0</v>
      </c>
      <c r="F5" s="30">
        <v>0</v>
      </c>
      <c r="G5" s="79">
        <f>upstream!N17</f>
        <v>6472.1048899943908</v>
      </c>
      <c r="H5" s="30">
        <v>0</v>
      </c>
      <c r="I5" s="30">
        <v>0</v>
      </c>
      <c r="J5" s="30">
        <v>0</v>
      </c>
      <c r="K5" s="30">
        <v>0</v>
      </c>
      <c r="L5" s="30">
        <v>0</v>
      </c>
      <c r="M5" s="30">
        <v>0</v>
      </c>
      <c r="N5" s="30">
        <v>0</v>
      </c>
      <c r="O5" s="30">
        <v>0</v>
      </c>
      <c r="P5" s="30">
        <v>0</v>
      </c>
      <c r="Q5" s="30">
        <v>0</v>
      </c>
      <c r="R5" s="30">
        <v>0</v>
      </c>
      <c r="S5" s="30">
        <v>0</v>
      </c>
      <c r="T5" s="30">
        <v>0</v>
      </c>
      <c r="U5" s="30">
        <v>0</v>
      </c>
      <c r="V5" s="30">
        <v>0</v>
      </c>
      <c r="W5" s="35">
        <v>0</v>
      </c>
      <c r="X5" s="9">
        <v>0</v>
      </c>
      <c r="Y5" s="36">
        <v>0</v>
      </c>
      <c r="Z5" s="36">
        <v>0</v>
      </c>
      <c r="AA5" s="112">
        <f>upstream!W20</f>
        <v>340.63709947338975</v>
      </c>
      <c r="AB5" s="81">
        <f t="shared" si="1"/>
        <v>340.63709947338975</v>
      </c>
      <c r="AC5" s="180">
        <f t="shared" si="2"/>
        <v>6812.7419894677805</v>
      </c>
      <c r="AD5" s="181">
        <f>AE5/AC5</f>
        <v>0.94999999999999984</v>
      </c>
      <c r="AE5" s="164">
        <f t="shared" si="0"/>
        <v>6472.1048899943908</v>
      </c>
    </row>
    <row r="6" spans="1:36">
      <c r="A6" s="1" t="s">
        <v>4</v>
      </c>
      <c r="B6" s="29">
        <v>0</v>
      </c>
      <c r="C6" s="30">
        <v>0</v>
      </c>
      <c r="D6" s="30">
        <v>0</v>
      </c>
      <c r="E6" s="30">
        <v>0</v>
      </c>
      <c r="F6" s="30">
        <v>0</v>
      </c>
      <c r="G6" s="30">
        <v>0</v>
      </c>
      <c r="H6" s="79">
        <f>upstream!N26</f>
        <v>1995.4820056259532</v>
      </c>
      <c r="I6" s="30">
        <v>0</v>
      </c>
      <c r="J6" s="30">
        <v>0</v>
      </c>
      <c r="K6" s="30">
        <v>0</v>
      </c>
      <c r="L6" s="30">
        <v>0</v>
      </c>
      <c r="M6" s="30">
        <v>0</v>
      </c>
      <c r="N6" s="30">
        <v>0</v>
      </c>
      <c r="O6" s="30">
        <v>0</v>
      </c>
      <c r="P6" s="30">
        <v>0</v>
      </c>
      <c r="Q6" s="30">
        <v>0</v>
      </c>
      <c r="R6" s="30">
        <v>0</v>
      </c>
      <c r="S6" s="30">
        <v>0</v>
      </c>
      <c r="T6" s="30">
        <v>0</v>
      </c>
      <c r="U6" s="30">
        <v>0</v>
      </c>
      <c r="V6" s="30">
        <v>0</v>
      </c>
      <c r="W6" s="35">
        <v>0</v>
      </c>
      <c r="X6" s="9">
        <v>0</v>
      </c>
      <c r="Y6" s="36">
        <v>0</v>
      </c>
      <c r="Z6" s="36">
        <v>0</v>
      </c>
      <c r="AA6" s="112">
        <f>upstream!W32</f>
        <v>105.02536871715529</v>
      </c>
      <c r="AB6" s="81">
        <f t="shared" si="1"/>
        <v>105.02536871715529</v>
      </c>
      <c r="AC6" s="180">
        <f t="shared" si="2"/>
        <v>2100.5073743431085</v>
      </c>
      <c r="AD6" s="181">
        <f>AE6/AC6</f>
        <v>0.95000000000000007</v>
      </c>
      <c r="AE6" s="164">
        <f t="shared" si="0"/>
        <v>1995.4820056259532</v>
      </c>
    </row>
    <row r="7" spans="1:36">
      <c r="A7" s="1" t="s">
        <v>5</v>
      </c>
      <c r="B7" s="29">
        <v>0</v>
      </c>
      <c r="C7" s="30">
        <v>0</v>
      </c>
      <c r="D7" s="30">
        <v>0</v>
      </c>
      <c r="E7" s="30">
        <v>0</v>
      </c>
      <c r="F7" s="30">
        <v>0</v>
      </c>
      <c r="G7" s="30">
        <v>0</v>
      </c>
      <c r="H7" s="30">
        <v>0</v>
      </c>
      <c r="I7" s="79">
        <f>upstream!E13</f>
        <v>4834.8536015484351</v>
      </c>
      <c r="J7" s="79">
        <f>upstream!E14</f>
        <v>1916.9599869421991</v>
      </c>
      <c r="K7" s="79">
        <f>upstream!E15</f>
        <v>378.41423090360735</v>
      </c>
      <c r="L7" s="79">
        <f>upstream!E16</f>
        <v>131.72095631794411</v>
      </c>
      <c r="M7" s="30">
        <v>0</v>
      </c>
      <c r="N7" s="30">
        <v>0</v>
      </c>
      <c r="O7" s="30">
        <v>0</v>
      </c>
      <c r="P7" s="30">
        <v>0</v>
      </c>
      <c r="Q7" s="30">
        <v>0</v>
      </c>
      <c r="R7" s="30">
        <v>0</v>
      </c>
      <c r="S7" s="30">
        <v>0</v>
      </c>
      <c r="T7" s="30">
        <v>0</v>
      </c>
      <c r="U7" s="30">
        <v>0</v>
      </c>
      <c r="V7" s="30">
        <v>0</v>
      </c>
      <c r="W7" s="35">
        <v>0</v>
      </c>
      <c r="X7" s="9">
        <v>0</v>
      </c>
      <c r="Y7" s="36">
        <v>0</v>
      </c>
      <c r="Z7" s="78">
        <f>upstream!H17</f>
        <v>91.691272420608399</v>
      </c>
      <c r="AA7" s="10">
        <v>0</v>
      </c>
      <c r="AB7" s="81">
        <f t="shared" si="1"/>
        <v>91.691272420608399</v>
      </c>
      <c r="AC7" s="180">
        <f t="shared" si="2"/>
        <v>7353.6400481327937</v>
      </c>
      <c r="AD7" s="182">
        <v>1</v>
      </c>
      <c r="AE7" s="164">
        <f t="shared" si="0"/>
        <v>7353.6400481327937</v>
      </c>
    </row>
    <row r="8" spans="1:36" ht="16.2" thickBot="1">
      <c r="A8" s="1" t="s">
        <v>6</v>
      </c>
      <c r="B8" s="29">
        <v>0</v>
      </c>
      <c r="C8" s="30">
        <v>0</v>
      </c>
      <c r="D8" s="30">
        <v>0</v>
      </c>
      <c r="E8" s="30">
        <v>0</v>
      </c>
      <c r="F8" s="30">
        <v>0</v>
      </c>
      <c r="G8" s="30">
        <v>0</v>
      </c>
      <c r="H8" s="30">
        <v>0</v>
      </c>
      <c r="I8" s="30">
        <v>0</v>
      </c>
      <c r="J8" s="30">
        <v>0</v>
      </c>
      <c r="K8" s="30">
        <v>0</v>
      </c>
      <c r="L8" s="30">
        <v>0</v>
      </c>
      <c r="M8" s="79">
        <f>upstream!E23</f>
        <v>1083.8643351850683</v>
      </c>
      <c r="N8" s="79">
        <f>upstream!E24</f>
        <v>743.34429238092264</v>
      </c>
      <c r="O8" s="79">
        <f>upstream!E25</f>
        <v>340.04770923189494</v>
      </c>
      <c r="P8" s="30">
        <v>0</v>
      </c>
      <c r="Q8" s="30">
        <v>0</v>
      </c>
      <c r="R8" s="30">
        <v>0</v>
      </c>
      <c r="S8" s="30">
        <v>0</v>
      </c>
      <c r="T8" s="30">
        <v>0</v>
      </c>
      <c r="U8" s="30">
        <v>0</v>
      </c>
      <c r="V8" s="30">
        <v>0</v>
      </c>
      <c r="W8" s="35">
        <v>0</v>
      </c>
      <c r="X8" s="9">
        <v>0</v>
      </c>
      <c r="Y8" s="36">
        <v>0</v>
      </c>
      <c r="Z8" s="78">
        <f>upstream!H26</f>
        <v>113.30872757939159</v>
      </c>
      <c r="AA8" s="10">
        <v>0</v>
      </c>
      <c r="AB8" s="81">
        <f t="shared" si="1"/>
        <v>113.30872757939159</v>
      </c>
      <c r="AC8" s="180">
        <f t="shared" si="2"/>
        <v>2280.5650643772769</v>
      </c>
      <c r="AD8" s="182">
        <v>1</v>
      </c>
      <c r="AE8" s="164">
        <f>SUM(M8:Z8)</f>
        <v>2280.5650643772769</v>
      </c>
    </row>
    <row r="9" spans="1:36">
      <c r="A9" s="1" t="s">
        <v>7</v>
      </c>
      <c r="B9" s="29">
        <v>0</v>
      </c>
      <c r="C9" s="30">
        <v>0</v>
      </c>
      <c r="D9" s="30">
        <v>0</v>
      </c>
      <c r="E9" s="85">
        <f>AF9*AG9</f>
        <v>1496.4611344990292</v>
      </c>
      <c r="F9" s="85">
        <f t="shared" ref="F9:F23" si="3">AF9*AH9</f>
        <v>166.27345938878099</v>
      </c>
      <c r="G9" s="30">
        <v>0</v>
      </c>
      <c r="H9" s="30">
        <v>0</v>
      </c>
      <c r="I9" s="30">
        <v>0</v>
      </c>
      <c r="J9" s="30">
        <v>0</v>
      </c>
      <c r="K9" s="30">
        <v>0</v>
      </c>
      <c r="L9" s="30">
        <v>0</v>
      </c>
      <c r="M9" s="30">
        <v>0</v>
      </c>
      <c r="N9" s="30">
        <v>0</v>
      </c>
      <c r="O9" s="30">
        <v>0</v>
      </c>
      <c r="P9" s="85">
        <f t="shared" ref="P9:W15" si="4">P32*0.453592*P$41*P$43</f>
        <v>434.83429169655932</v>
      </c>
      <c r="Q9" s="85">
        <f t="shared" si="4"/>
        <v>629.22666300472201</v>
      </c>
      <c r="R9" s="85">
        <f t="shared" si="4"/>
        <v>412.68832534499654</v>
      </c>
      <c r="S9" s="85">
        <f t="shared" si="4"/>
        <v>266.80616604501898</v>
      </c>
      <c r="T9" s="85">
        <f t="shared" si="4"/>
        <v>117.76029726624687</v>
      </c>
      <c r="U9" s="85">
        <f t="shared" si="4"/>
        <v>200.36826699033048</v>
      </c>
      <c r="V9" s="85">
        <f t="shared" si="4"/>
        <v>1745.6645857438266</v>
      </c>
      <c r="W9" s="166">
        <f t="shared" si="4"/>
        <v>22.849012902406109</v>
      </c>
      <c r="X9" s="9">
        <v>0</v>
      </c>
      <c r="Y9" s="84">
        <f t="shared" ref="Y9:Y15" si="5">Y32*$Y$41*$Y$43*0.453592</f>
        <v>195.13085776330075</v>
      </c>
      <c r="Z9" s="36">
        <v>0</v>
      </c>
      <c r="AA9" s="10">
        <v>0</v>
      </c>
      <c r="AB9" s="81">
        <f t="shared" si="1"/>
        <v>195.13085776330075</v>
      </c>
      <c r="AC9" s="178">
        <f>AE9/AD9</f>
        <v>5688.0630606452178</v>
      </c>
      <c r="AD9" s="192">
        <v>0.70767999999999998</v>
      </c>
      <c r="AE9" s="163">
        <f>SUM(P9:Y9)</f>
        <v>4025.3284667574076</v>
      </c>
      <c r="AF9" s="84">
        <f>AC9-AE9</f>
        <v>1662.7345938878102</v>
      </c>
      <c r="AG9" s="116">
        <f>$AG$25*$AG$27</f>
        <v>0.9</v>
      </c>
      <c r="AH9" s="101">
        <f>1-AG9-AI9</f>
        <v>9.9999999999999978E-2</v>
      </c>
      <c r="AI9" s="98">
        <f>1-$AG$27</f>
        <v>0</v>
      </c>
      <c r="AJ9" s="18">
        <f>SUM(AG9:AI9)</f>
        <v>1</v>
      </c>
    </row>
    <row r="10" spans="1:36">
      <c r="A10" s="1" t="s">
        <v>8</v>
      </c>
      <c r="B10" s="29">
        <v>0</v>
      </c>
      <c r="C10" s="30">
        <v>0</v>
      </c>
      <c r="D10" s="30">
        <v>0</v>
      </c>
      <c r="E10" s="85">
        <f t="shared" ref="E10:E23" si="6">AF10*AG10</f>
        <v>563.83783715929269</v>
      </c>
      <c r="F10" s="85">
        <f t="shared" si="3"/>
        <v>62.648648573254725</v>
      </c>
      <c r="G10" s="30">
        <v>0</v>
      </c>
      <c r="H10" s="30">
        <v>0</v>
      </c>
      <c r="I10" s="30">
        <v>0</v>
      </c>
      <c r="J10" s="30">
        <v>0</v>
      </c>
      <c r="K10" s="30">
        <v>0</v>
      </c>
      <c r="L10" s="30">
        <v>0</v>
      </c>
      <c r="M10" s="30">
        <v>0</v>
      </c>
      <c r="N10" s="30">
        <v>0</v>
      </c>
      <c r="O10" s="30">
        <v>0</v>
      </c>
      <c r="P10" s="85">
        <f t="shared" si="4"/>
        <v>662.2698508943555</v>
      </c>
      <c r="Q10" s="85">
        <f t="shared" si="4"/>
        <v>178.57382391418926</v>
      </c>
      <c r="R10" s="85">
        <f t="shared" si="4"/>
        <v>297.38869100670109</v>
      </c>
      <c r="S10" s="85">
        <f t="shared" si="4"/>
        <v>165.56746272358887</v>
      </c>
      <c r="T10" s="85">
        <f t="shared" si="4"/>
        <v>165.21593944816726</v>
      </c>
      <c r="U10" s="85">
        <f t="shared" si="4"/>
        <v>164.86441617274559</v>
      </c>
      <c r="V10" s="85">
        <f t="shared" si="4"/>
        <v>0</v>
      </c>
      <c r="W10" s="166">
        <f t="shared" si="4"/>
        <v>27.770338758308963</v>
      </c>
      <c r="X10" s="9">
        <v>0</v>
      </c>
      <c r="Y10" s="84">
        <f t="shared" si="5"/>
        <v>108.0629750271444</v>
      </c>
      <c r="Z10" s="36">
        <v>0</v>
      </c>
      <c r="AA10" s="10">
        <v>0</v>
      </c>
      <c r="AB10" s="81">
        <f t="shared" si="1"/>
        <v>108.0629750271444</v>
      </c>
      <c r="AC10" s="180">
        <f>AE10/AD10</f>
        <v>2396.1999836777486</v>
      </c>
      <c r="AD10" s="191">
        <v>0.73855000000000004</v>
      </c>
      <c r="AE10" s="164">
        <f t="shared" ref="AE10:AE23" si="7">SUM(P10:Y10)</f>
        <v>1769.7134979452012</v>
      </c>
      <c r="AF10" s="84">
        <f t="shared" ref="AF10:AF23" si="8">AC10-AE10</f>
        <v>626.48648573254741</v>
      </c>
      <c r="AG10" s="103">
        <f>$AG$25*$AG$27</f>
        <v>0.9</v>
      </c>
      <c r="AH10" s="92">
        <f t="shared" ref="AH10:AH23" si="9">1-AG10-AI10</f>
        <v>9.9999999999999978E-2</v>
      </c>
      <c r="AI10" s="99">
        <f t="shared" ref="AI10:AI15" si="10">1-$AG$27</f>
        <v>0</v>
      </c>
      <c r="AJ10" s="18">
        <f t="shared" ref="AJ10:AJ23" si="11">SUM(AG10:AI10)</f>
        <v>1</v>
      </c>
    </row>
    <row r="11" spans="1:36">
      <c r="A11" s="1" t="s">
        <v>9</v>
      </c>
      <c r="B11" s="29">
        <v>0</v>
      </c>
      <c r="C11" s="30">
        <v>0</v>
      </c>
      <c r="D11" s="30">
        <v>0</v>
      </c>
      <c r="E11" s="85">
        <f t="shared" si="6"/>
        <v>111.30345075346665</v>
      </c>
      <c r="F11" s="85">
        <f t="shared" si="3"/>
        <v>12.367050083718514</v>
      </c>
      <c r="G11" s="30">
        <v>0</v>
      </c>
      <c r="H11" s="30">
        <v>0</v>
      </c>
      <c r="I11" s="30">
        <v>0</v>
      </c>
      <c r="J11" s="30">
        <v>0</v>
      </c>
      <c r="K11" s="30">
        <v>0</v>
      </c>
      <c r="L11" s="30">
        <v>0</v>
      </c>
      <c r="M11" s="30">
        <v>0</v>
      </c>
      <c r="N11" s="30">
        <v>0</v>
      </c>
      <c r="O11" s="30">
        <v>0</v>
      </c>
      <c r="P11" s="85">
        <f t="shared" si="4"/>
        <v>9.8426517118057077</v>
      </c>
      <c r="Q11" s="85">
        <f t="shared" si="4"/>
        <v>1.4060931016865299</v>
      </c>
      <c r="R11" s="85">
        <f t="shared" si="4"/>
        <v>4.9213258559028539</v>
      </c>
      <c r="S11" s="85">
        <f t="shared" si="4"/>
        <v>1.7576163771081621</v>
      </c>
      <c r="T11" s="85">
        <f t="shared" si="4"/>
        <v>318.83161080742065</v>
      </c>
      <c r="U11" s="85">
        <f t="shared" si="4"/>
        <v>4.9213258559028539</v>
      </c>
      <c r="V11" s="85">
        <f t="shared" si="4"/>
        <v>0.35152327542163248</v>
      </c>
      <c r="W11" s="166">
        <f t="shared" si="4"/>
        <v>1.7576163771081621</v>
      </c>
      <c r="X11" s="9">
        <v>0</v>
      </c>
      <c r="Y11" s="84">
        <f t="shared" si="5"/>
        <v>5.5575244299674269</v>
      </c>
      <c r="Z11" s="36">
        <v>0</v>
      </c>
      <c r="AA11" s="10">
        <v>0</v>
      </c>
      <c r="AB11" s="81">
        <f t="shared" si="1"/>
        <v>5.5575244299674269</v>
      </c>
      <c r="AC11" s="180">
        <f>AE11/AD11</f>
        <v>473.01778862950914</v>
      </c>
      <c r="AD11" s="450">
        <f>AD10</f>
        <v>0.73855000000000004</v>
      </c>
      <c r="AE11" s="164">
        <f t="shared" si="7"/>
        <v>349.34728779232398</v>
      </c>
      <c r="AF11" s="84">
        <f t="shared" si="8"/>
        <v>123.67050083718516</v>
      </c>
      <c r="AG11" s="103">
        <f>$AG$25*$AG$27</f>
        <v>0.9</v>
      </c>
      <c r="AH11" s="92">
        <f t="shared" si="9"/>
        <v>9.9999999999999978E-2</v>
      </c>
      <c r="AI11" s="99">
        <f t="shared" si="10"/>
        <v>0</v>
      </c>
      <c r="AJ11" s="18">
        <f t="shared" si="11"/>
        <v>1</v>
      </c>
    </row>
    <row r="12" spans="1:36" ht="16.2" thickBot="1">
      <c r="A12" s="1" t="s">
        <v>78</v>
      </c>
      <c r="B12" s="29">
        <v>0</v>
      </c>
      <c r="C12" s="30">
        <v>0</v>
      </c>
      <c r="D12" s="30">
        <v>0</v>
      </c>
      <c r="E12" s="85">
        <f t="shared" si="6"/>
        <v>29.637215171537427</v>
      </c>
      <c r="F12" s="85">
        <f t="shared" si="3"/>
        <v>3.2930239079486023</v>
      </c>
      <c r="G12" s="30">
        <v>0</v>
      </c>
      <c r="H12" s="30">
        <v>0</v>
      </c>
      <c r="I12" s="30">
        <v>0</v>
      </c>
      <c r="J12" s="30">
        <v>0</v>
      </c>
      <c r="K12" s="30">
        <v>0</v>
      </c>
      <c r="L12" s="30">
        <v>0</v>
      </c>
      <c r="M12" s="30">
        <v>0</v>
      </c>
      <c r="N12" s="30">
        <v>0</v>
      </c>
      <c r="O12" s="30">
        <v>0</v>
      </c>
      <c r="P12" s="85">
        <f t="shared" si="4"/>
        <v>0</v>
      </c>
      <c r="Q12" s="85">
        <f t="shared" si="4"/>
        <v>25.661199105779168</v>
      </c>
      <c r="R12" s="85">
        <f t="shared" si="4"/>
        <v>49.564781834450173</v>
      </c>
      <c r="S12" s="85">
        <f t="shared" si="4"/>
        <v>6.3274189575893844</v>
      </c>
      <c r="T12" s="85">
        <f t="shared" si="4"/>
        <v>0.35152327542163248</v>
      </c>
      <c r="U12" s="85">
        <f t="shared" si="4"/>
        <v>3.5152327542163242</v>
      </c>
      <c r="V12" s="85">
        <f t="shared" si="4"/>
        <v>0</v>
      </c>
      <c r="W12" s="166">
        <f t="shared" si="4"/>
        <v>37.964513745536301</v>
      </c>
      <c r="X12" s="9">
        <v>0</v>
      </c>
      <c r="Y12" s="84">
        <f t="shared" si="5"/>
        <v>8.336286644951139</v>
      </c>
      <c r="Z12" s="36">
        <v>0</v>
      </c>
      <c r="AA12" s="10">
        <v>0</v>
      </c>
      <c r="AB12" s="81">
        <f t="shared" si="1"/>
        <v>8.336286644951139</v>
      </c>
      <c r="AC12" s="183">
        <f>AE12/AD12</f>
        <v>164.65119539743014</v>
      </c>
      <c r="AD12" s="456">
        <v>0.8</v>
      </c>
      <c r="AE12" s="165">
        <f t="shared" si="7"/>
        <v>131.72095631794411</v>
      </c>
      <c r="AF12" s="84">
        <f t="shared" si="8"/>
        <v>32.930239079486029</v>
      </c>
      <c r="AG12" s="103">
        <f>$AG$25*$AG$27</f>
        <v>0.9</v>
      </c>
      <c r="AH12" s="92">
        <f t="shared" si="9"/>
        <v>9.9999999999999978E-2</v>
      </c>
      <c r="AI12" s="99">
        <f t="shared" si="10"/>
        <v>0</v>
      </c>
      <c r="AJ12" s="18">
        <f t="shared" si="11"/>
        <v>1</v>
      </c>
    </row>
    <row r="13" spans="1:36">
      <c r="A13" s="1" t="s">
        <v>10</v>
      </c>
      <c r="B13" s="29">
        <v>0</v>
      </c>
      <c r="C13" s="30">
        <v>0</v>
      </c>
      <c r="D13" s="30">
        <v>0</v>
      </c>
      <c r="E13" s="85">
        <v>0</v>
      </c>
      <c r="F13" s="85">
        <v>0</v>
      </c>
      <c r="G13" s="30">
        <v>0</v>
      </c>
      <c r="H13" s="30">
        <v>0</v>
      </c>
      <c r="I13" s="30">
        <v>0</v>
      </c>
      <c r="J13" s="30">
        <v>0</v>
      </c>
      <c r="K13" s="30">
        <v>0</v>
      </c>
      <c r="L13" s="30">
        <v>0</v>
      </c>
      <c r="M13" s="30">
        <v>0</v>
      </c>
      <c r="N13" s="30">
        <v>0</v>
      </c>
      <c r="O13" s="30">
        <v>0</v>
      </c>
      <c r="P13" s="85">
        <f t="shared" si="4"/>
        <v>12.654837915178769</v>
      </c>
      <c r="Q13" s="85">
        <f t="shared" si="4"/>
        <v>388.29261003073526</v>
      </c>
      <c r="R13" s="85">
        <f t="shared" si="4"/>
        <v>86.900253929232036</v>
      </c>
      <c r="S13" s="85">
        <f t="shared" si="4"/>
        <v>72.765318012277916</v>
      </c>
      <c r="T13" s="85">
        <f t="shared" si="4"/>
        <v>46.190158390402502</v>
      </c>
      <c r="U13" s="85">
        <f t="shared" si="4"/>
        <v>126.12655122128174</v>
      </c>
      <c r="V13" s="85">
        <f t="shared" si="4"/>
        <v>0</v>
      </c>
      <c r="W13" s="166">
        <f t="shared" si="4"/>
        <v>90.693005058781168</v>
      </c>
      <c r="X13" s="9">
        <v>0</v>
      </c>
      <c r="Y13" s="84">
        <f t="shared" si="5"/>
        <v>268.05458536782373</v>
      </c>
      <c r="Z13" s="36">
        <v>0</v>
      </c>
      <c r="AA13" s="115">
        <f>0.2*(1-AD13)/AD13*AE13</f>
        <v>49.232506584885122</v>
      </c>
      <c r="AB13" s="81">
        <f t="shared" si="1"/>
        <v>317.28709195270886</v>
      </c>
      <c r="AC13" s="178">
        <f>SUM(B13:AA13)</f>
        <v>1140.9098265105984</v>
      </c>
      <c r="AD13" s="192">
        <f>0.816</f>
        <v>0.81599999999999995</v>
      </c>
      <c r="AE13" s="163">
        <f t="shared" si="7"/>
        <v>1091.6773199257132</v>
      </c>
      <c r="AF13" s="84">
        <f t="shared" si="8"/>
        <v>49.232506584885186</v>
      </c>
      <c r="AG13" s="103">
        <v>0</v>
      </c>
      <c r="AH13" s="92">
        <v>0</v>
      </c>
      <c r="AI13" s="99">
        <f t="shared" si="10"/>
        <v>0</v>
      </c>
      <c r="AJ13" s="18">
        <f t="shared" si="11"/>
        <v>0</v>
      </c>
    </row>
    <row r="14" spans="1:36">
      <c r="A14" s="1" t="s">
        <v>11</v>
      </c>
      <c r="B14" s="29">
        <v>0</v>
      </c>
      <c r="C14" s="30">
        <v>0</v>
      </c>
      <c r="D14" s="30">
        <v>0</v>
      </c>
      <c r="E14" s="85">
        <v>0</v>
      </c>
      <c r="F14" s="85">
        <v>0</v>
      </c>
      <c r="G14" s="30">
        <v>0</v>
      </c>
      <c r="H14" s="30">
        <v>0</v>
      </c>
      <c r="I14" s="30">
        <v>0</v>
      </c>
      <c r="J14" s="30">
        <v>0</v>
      </c>
      <c r="K14" s="30">
        <v>0</v>
      </c>
      <c r="L14" s="30">
        <v>0</v>
      </c>
      <c r="M14" s="30">
        <v>0</v>
      </c>
      <c r="N14" s="30">
        <v>0</v>
      </c>
      <c r="O14" s="30">
        <v>0</v>
      </c>
      <c r="P14" s="85">
        <f t="shared" si="4"/>
        <v>0</v>
      </c>
      <c r="Q14" s="85">
        <f t="shared" si="4"/>
        <v>357.47573621877206</v>
      </c>
      <c r="R14" s="85">
        <f t="shared" si="4"/>
        <v>39.500115422378144</v>
      </c>
      <c r="S14" s="85">
        <f t="shared" si="4"/>
        <v>36.382659006138958</v>
      </c>
      <c r="T14" s="85">
        <f t="shared" si="4"/>
        <v>23.095079195201251</v>
      </c>
      <c r="U14" s="85">
        <f t="shared" si="4"/>
        <v>63.063275610640872</v>
      </c>
      <c r="V14" s="85">
        <f t="shared" si="4"/>
        <v>0</v>
      </c>
      <c r="W14" s="166">
        <f t="shared" si="4"/>
        <v>45.346502529390584</v>
      </c>
      <c r="X14" s="9">
        <v>0</v>
      </c>
      <c r="Y14" s="84">
        <f t="shared" si="5"/>
        <v>183.83928653366357</v>
      </c>
      <c r="Z14" s="36">
        <v>0</v>
      </c>
      <c r="AA14" s="115">
        <f>0.2*(1-AD14)/AD14*AE14</f>
        <v>33.765021674259359</v>
      </c>
      <c r="AB14" s="81">
        <f t="shared" si="1"/>
        <v>217.60430820792294</v>
      </c>
      <c r="AC14" s="180">
        <f>SUM(B14:AA14)</f>
        <v>782.46767619044488</v>
      </c>
      <c r="AD14" s="450">
        <f>AD13</f>
        <v>0.81599999999999995</v>
      </c>
      <c r="AE14" s="164">
        <f t="shared" si="7"/>
        <v>748.70265451618548</v>
      </c>
      <c r="AF14" s="84">
        <f t="shared" si="8"/>
        <v>33.765021674259401</v>
      </c>
      <c r="AG14" s="103">
        <v>0</v>
      </c>
      <c r="AH14" s="92">
        <v>0</v>
      </c>
      <c r="AI14" s="99">
        <f t="shared" si="10"/>
        <v>0</v>
      </c>
      <c r="AJ14" s="18">
        <f t="shared" si="11"/>
        <v>0</v>
      </c>
    </row>
    <row r="15" spans="1:36" ht="16.2" thickBot="1">
      <c r="A15" s="1" t="s">
        <v>12</v>
      </c>
      <c r="B15" s="29">
        <v>0</v>
      </c>
      <c r="C15" s="30">
        <v>0</v>
      </c>
      <c r="D15" s="30">
        <v>0</v>
      </c>
      <c r="E15" s="85">
        <v>0</v>
      </c>
      <c r="F15" s="85">
        <v>0</v>
      </c>
      <c r="G15" s="30">
        <v>0</v>
      </c>
      <c r="H15" s="30">
        <v>0</v>
      </c>
      <c r="I15" s="30">
        <v>0</v>
      </c>
      <c r="J15" s="30">
        <v>0</v>
      </c>
      <c r="K15" s="30">
        <v>0</v>
      </c>
      <c r="L15" s="30">
        <v>0</v>
      </c>
      <c r="M15" s="30">
        <v>0</v>
      </c>
      <c r="N15" s="30">
        <v>0</v>
      </c>
      <c r="O15" s="30">
        <v>0</v>
      </c>
      <c r="P15" s="85">
        <f t="shared" si="4"/>
        <v>0</v>
      </c>
      <c r="Q15" s="85">
        <f t="shared" si="4"/>
        <v>178.73786810938603</v>
      </c>
      <c r="R15" s="85">
        <f t="shared" si="4"/>
        <v>23.700069253426868</v>
      </c>
      <c r="S15" s="85">
        <f t="shared" si="4"/>
        <v>12.127553002046319</v>
      </c>
      <c r="T15" s="85">
        <f t="shared" si="4"/>
        <v>7.6983597317337509</v>
      </c>
      <c r="U15" s="85">
        <f t="shared" si="4"/>
        <v>21.02109187021362</v>
      </c>
      <c r="V15" s="85">
        <f t="shared" si="4"/>
        <v>0</v>
      </c>
      <c r="W15" s="166">
        <f t="shared" si="4"/>
        <v>15.115500843130196</v>
      </c>
      <c r="X15" s="9">
        <v>0</v>
      </c>
      <c r="Y15" s="84">
        <f t="shared" si="5"/>
        <v>84.098484233148909</v>
      </c>
      <c r="Z15" s="36">
        <v>0</v>
      </c>
      <c r="AA15" s="115">
        <f>0.2*(1-AD15)/AD15*AE15</f>
        <v>15.446030043119556</v>
      </c>
      <c r="AB15" s="81">
        <f t="shared" si="1"/>
        <v>99.544514276268472</v>
      </c>
      <c r="AC15" s="183">
        <f>SUM(B15:AA15)</f>
        <v>357.94495708620519</v>
      </c>
      <c r="AD15" s="451">
        <f>AD13</f>
        <v>0.81599999999999995</v>
      </c>
      <c r="AE15" s="165">
        <f t="shared" si="7"/>
        <v>342.49892704308564</v>
      </c>
      <c r="AF15" s="84">
        <f t="shared" si="8"/>
        <v>15.446030043119549</v>
      </c>
      <c r="AG15" s="103">
        <v>0</v>
      </c>
      <c r="AH15" s="92">
        <v>0</v>
      </c>
      <c r="AI15" s="99">
        <f t="shared" si="10"/>
        <v>0</v>
      </c>
      <c r="AJ15" s="18">
        <f t="shared" si="11"/>
        <v>0</v>
      </c>
    </row>
    <row r="16" spans="1:36">
      <c r="A16" s="1" t="s">
        <v>13</v>
      </c>
      <c r="B16" s="29">
        <v>0</v>
      </c>
      <c r="C16" s="30">
        <v>0</v>
      </c>
      <c r="D16" s="30">
        <v>0</v>
      </c>
      <c r="E16" s="85">
        <f t="shared" si="6"/>
        <v>108.91112779386829</v>
      </c>
      <c r="F16" s="85">
        <f t="shared" si="3"/>
        <v>12.101236421540918</v>
      </c>
      <c r="G16" s="30">
        <v>0</v>
      </c>
      <c r="H16" s="30">
        <v>0</v>
      </c>
      <c r="I16" s="30">
        <v>0</v>
      </c>
      <c r="J16" s="30">
        <v>0</v>
      </c>
      <c r="K16" s="30">
        <v>0</v>
      </c>
      <c r="L16" s="30">
        <v>0</v>
      </c>
      <c r="M16" s="30">
        <v>0</v>
      </c>
      <c r="N16" s="30">
        <v>0</v>
      </c>
      <c r="O16" s="30">
        <v>0</v>
      </c>
      <c r="P16" s="30">
        <v>0</v>
      </c>
      <c r="Q16" s="30">
        <v>0</v>
      </c>
      <c r="R16" s="30">
        <v>0</v>
      </c>
      <c r="S16" s="30">
        <v>0</v>
      </c>
      <c r="T16" s="30">
        <v>0</v>
      </c>
      <c r="U16" s="30">
        <v>0</v>
      </c>
      <c r="V16" s="30">
        <v>0</v>
      </c>
      <c r="W16" s="35">
        <v>0</v>
      </c>
      <c r="X16" s="110">
        <f>end_use!M2</f>
        <v>1173.2380224508886</v>
      </c>
      <c r="Y16" s="36">
        <v>0</v>
      </c>
      <c r="Z16" s="36">
        <v>0</v>
      </c>
      <c r="AA16" s="10">
        <v>0</v>
      </c>
      <c r="AB16" s="81">
        <f t="shared" si="1"/>
        <v>1173.2380224508886</v>
      </c>
      <c r="AC16" s="180" cm="1">
        <f t="array" ref="AC16:AC23">TRANSPOSE(P42:W42)</f>
        <v>1294.2503866662978</v>
      </c>
      <c r="AD16" s="349">
        <f>end_use!Q2</f>
        <v>0.90650003626646747</v>
      </c>
      <c r="AE16" s="130">
        <f t="shared" si="7"/>
        <v>1173.2380224508886</v>
      </c>
      <c r="AF16" s="84">
        <f t="shared" si="8"/>
        <v>121.01236421540921</v>
      </c>
      <c r="AG16" s="103">
        <f>$AG$26</f>
        <v>0.9</v>
      </c>
      <c r="AH16" s="92">
        <f t="shared" si="9"/>
        <v>9.9999999999999978E-2</v>
      </c>
      <c r="AI16" s="99">
        <f>1-$AG$28</f>
        <v>0</v>
      </c>
      <c r="AJ16" s="18">
        <f t="shared" si="11"/>
        <v>1</v>
      </c>
    </row>
    <row r="17" spans="1:36">
      <c r="A17" s="1" t="s">
        <v>14</v>
      </c>
      <c r="B17" s="29">
        <v>0</v>
      </c>
      <c r="C17" s="30">
        <v>0</v>
      </c>
      <c r="D17" s="30">
        <v>0</v>
      </c>
      <c r="E17" s="85">
        <f t="shared" si="6"/>
        <v>230.04077980913286</v>
      </c>
      <c r="F17" s="85">
        <f t="shared" si="3"/>
        <v>25.560086645459201</v>
      </c>
      <c r="G17" s="30">
        <v>0</v>
      </c>
      <c r="H17" s="30">
        <v>0</v>
      </c>
      <c r="I17" s="30">
        <v>0</v>
      </c>
      <c r="J17" s="30">
        <v>0</v>
      </c>
      <c r="K17" s="30">
        <v>0</v>
      </c>
      <c r="L17" s="30">
        <v>0</v>
      </c>
      <c r="M17" s="30">
        <v>0</v>
      </c>
      <c r="N17" s="30">
        <v>0</v>
      </c>
      <c r="O17" s="30">
        <v>0</v>
      </c>
      <c r="P17" s="30">
        <v>0</v>
      </c>
      <c r="Q17" s="30">
        <v>0</v>
      </c>
      <c r="R17" s="30">
        <v>0</v>
      </c>
      <c r="S17" s="30">
        <v>0</v>
      </c>
      <c r="T17" s="30">
        <v>0</v>
      </c>
      <c r="U17" s="30">
        <v>0</v>
      </c>
      <c r="V17" s="30">
        <v>0</v>
      </c>
      <c r="W17" s="35">
        <v>0</v>
      </c>
      <c r="X17" s="110">
        <f>end_use!M3</f>
        <v>1778.221169735305</v>
      </c>
      <c r="Y17" s="36">
        <v>0</v>
      </c>
      <c r="Z17" s="36">
        <v>0</v>
      </c>
      <c r="AA17" s="10">
        <v>0</v>
      </c>
      <c r="AB17" s="81">
        <f t="shared" si="1"/>
        <v>1778.221169735305</v>
      </c>
      <c r="AC17" s="180">
        <v>2033.8220361898971</v>
      </c>
      <c r="AD17" s="349">
        <f>end_use!Q3</f>
        <v>0.87432486131705645</v>
      </c>
      <c r="AE17" s="130">
        <f t="shared" si="7"/>
        <v>1778.221169735305</v>
      </c>
      <c r="AF17" s="84">
        <f t="shared" si="8"/>
        <v>255.60086645459205</v>
      </c>
      <c r="AG17" s="103">
        <f t="shared" ref="AG17:AG23" si="12">$AG$26</f>
        <v>0.9</v>
      </c>
      <c r="AH17" s="92">
        <f t="shared" si="9"/>
        <v>9.9999999999999978E-2</v>
      </c>
      <c r="AI17" s="99">
        <f t="shared" ref="AI17:AI23" si="13">1-$AG$28</f>
        <v>0</v>
      </c>
      <c r="AJ17" s="18">
        <f t="shared" si="11"/>
        <v>1</v>
      </c>
    </row>
    <row r="18" spans="1:36">
      <c r="A18" s="1" t="s">
        <v>15</v>
      </c>
      <c r="B18" s="29">
        <v>0</v>
      </c>
      <c r="C18" s="30">
        <v>0</v>
      </c>
      <c r="D18" s="30">
        <v>0</v>
      </c>
      <c r="E18" s="85">
        <f t="shared" si="6"/>
        <v>163.95461657399977</v>
      </c>
      <c r="F18" s="85">
        <f t="shared" si="3"/>
        <v>18.217179619333304</v>
      </c>
      <c r="G18" s="30">
        <v>0</v>
      </c>
      <c r="H18" s="30">
        <v>0</v>
      </c>
      <c r="I18" s="30">
        <v>0</v>
      </c>
      <c r="J18" s="30">
        <v>0</v>
      </c>
      <c r="K18" s="30">
        <v>0</v>
      </c>
      <c r="L18" s="30">
        <v>0</v>
      </c>
      <c r="M18" s="30">
        <v>0</v>
      </c>
      <c r="N18" s="30">
        <v>0</v>
      </c>
      <c r="O18" s="30">
        <v>0</v>
      </c>
      <c r="P18" s="30">
        <v>0</v>
      </c>
      <c r="Q18" s="30">
        <v>0</v>
      </c>
      <c r="R18" s="30">
        <v>0</v>
      </c>
      <c r="S18" s="30">
        <v>0</v>
      </c>
      <c r="T18" s="30">
        <v>0</v>
      </c>
      <c r="U18" s="30">
        <v>0</v>
      </c>
      <c r="V18" s="30">
        <v>0</v>
      </c>
      <c r="W18" s="35">
        <v>0</v>
      </c>
      <c r="X18" s="110">
        <f>end_use!M4</f>
        <v>875.17184779590013</v>
      </c>
      <c r="Y18" s="36">
        <v>0</v>
      </c>
      <c r="Z18" s="36">
        <v>0</v>
      </c>
      <c r="AA18" s="10">
        <v>0</v>
      </c>
      <c r="AB18" s="81">
        <f t="shared" si="1"/>
        <v>875.17184779590013</v>
      </c>
      <c r="AC18" s="180">
        <v>1057.3436439892332</v>
      </c>
      <c r="AD18" s="349">
        <f>end_use!Q4</f>
        <v>0.82770805193851615</v>
      </c>
      <c r="AE18" s="130">
        <f t="shared" si="7"/>
        <v>875.17184779590013</v>
      </c>
      <c r="AF18" s="84">
        <f t="shared" si="8"/>
        <v>182.17179619333308</v>
      </c>
      <c r="AG18" s="103">
        <f t="shared" si="12"/>
        <v>0.9</v>
      </c>
      <c r="AH18" s="92">
        <f t="shared" si="9"/>
        <v>9.9999999999999978E-2</v>
      </c>
      <c r="AI18" s="99">
        <f t="shared" si="13"/>
        <v>0</v>
      </c>
      <c r="AJ18" s="18">
        <f t="shared" si="11"/>
        <v>1</v>
      </c>
    </row>
    <row r="19" spans="1:36">
      <c r="A19" s="1" t="s">
        <v>16</v>
      </c>
      <c r="B19" s="29">
        <v>0</v>
      </c>
      <c r="C19" s="30">
        <v>0</v>
      </c>
      <c r="D19" s="30">
        <v>0</v>
      </c>
      <c r="E19" s="85">
        <f t="shared" si="6"/>
        <v>67.033246910490348</v>
      </c>
      <c r="F19" s="85">
        <f t="shared" si="3"/>
        <v>7.4481385456100364</v>
      </c>
      <c r="G19" s="30">
        <v>0</v>
      </c>
      <c r="H19" s="30">
        <v>0</v>
      </c>
      <c r="I19" s="30">
        <v>0</v>
      </c>
      <c r="J19" s="30">
        <v>0</v>
      </c>
      <c r="K19" s="30">
        <v>0</v>
      </c>
      <c r="L19" s="30">
        <v>0</v>
      </c>
      <c r="M19" s="30">
        <v>0</v>
      </c>
      <c r="N19" s="30">
        <v>0</v>
      </c>
      <c r="O19" s="30">
        <v>0</v>
      </c>
      <c r="P19" s="30">
        <v>0</v>
      </c>
      <c r="Q19" s="30">
        <v>0</v>
      </c>
      <c r="R19" s="30">
        <v>0</v>
      </c>
      <c r="S19" s="30">
        <v>0</v>
      </c>
      <c r="T19" s="30">
        <v>0</v>
      </c>
      <c r="U19" s="30">
        <v>0</v>
      </c>
      <c r="V19" s="30">
        <v>0</v>
      </c>
      <c r="W19" s="35">
        <v>0</v>
      </c>
      <c r="X19" s="110">
        <f>end_use!M5</f>
        <v>574.8787771475869</v>
      </c>
      <c r="Y19" s="36">
        <v>0</v>
      </c>
      <c r="Z19" s="36">
        <v>0</v>
      </c>
      <c r="AA19" s="10">
        <v>0</v>
      </c>
      <c r="AB19" s="81">
        <f t="shared" si="1"/>
        <v>574.8787771475869</v>
      </c>
      <c r="AC19" s="180">
        <v>649.36016260368729</v>
      </c>
      <c r="AD19" s="349">
        <f>end_use!Q5</f>
        <v>0.88530034679451486</v>
      </c>
      <c r="AE19" s="130">
        <f t="shared" si="7"/>
        <v>574.8787771475869</v>
      </c>
      <c r="AF19" s="84">
        <f t="shared" si="8"/>
        <v>74.481385456100384</v>
      </c>
      <c r="AG19" s="103">
        <f t="shared" si="12"/>
        <v>0.9</v>
      </c>
      <c r="AH19" s="92">
        <f t="shared" si="9"/>
        <v>9.9999999999999978E-2</v>
      </c>
      <c r="AI19" s="99">
        <f t="shared" si="13"/>
        <v>0</v>
      </c>
      <c r="AJ19" s="18">
        <f t="shared" si="11"/>
        <v>1</v>
      </c>
    </row>
    <row r="20" spans="1:36">
      <c r="A20" s="1" t="s">
        <v>17</v>
      </c>
      <c r="B20" s="29">
        <v>0</v>
      </c>
      <c r="C20" s="30">
        <v>0</v>
      </c>
      <c r="D20" s="30">
        <v>0</v>
      </c>
      <c r="E20" s="85">
        <f t="shared" si="6"/>
        <v>52.926091637040159</v>
      </c>
      <c r="F20" s="85">
        <f t="shared" si="3"/>
        <v>5.8806768485600163</v>
      </c>
      <c r="G20" s="30">
        <v>0</v>
      </c>
      <c r="H20" s="30">
        <v>0</v>
      </c>
      <c r="I20" s="30">
        <v>0</v>
      </c>
      <c r="J20" s="30">
        <v>0</v>
      </c>
      <c r="K20" s="30">
        <v>0</v>
      </c>
      <c r="L20" s="30">
        <v>0</v>
      </c>
      <c r="M20" s="30">
        <v>0</v>
      </c>
      <c r="N20" s="30">
        <v>0</v>
      </c>
      <c r="O20" s="30">
        <v>0</v>
      </c>
      <c r="P20" s="30">
        <v>0</v>
      </c>
      <c r="Q20" s="30">
        <v>0</v>
      </c>
      <c r="R20" s="30">
        <v>0</v>
      </c>
      <c r="S20" s="30">
        <v>0</v>
      </c>
      <c r="T20" s="30">
        <v>0</v>
      </c>
      <c r="U20" s="30">
        <v>0</v>
      </c>
      <c r="V20" s="30">
        <v>0</v>
      </c>
      <c r="W20" s="35">
        <v>0</v>
      </c>
      <c r="X20" s="110">
        <f>end_use!M6</f>
        <v>726.27698254714335</v>
      </c>
      <c r="Y20" s="36">
        <v>0</v>
      </c>
      <c r="Z20" s="36">
        <v>0</v>
      </c>
      <c r="AA20" s="10">
        <v>0</v>
      </c>
      <c r="AB20" s="81">
        <f t="shared" si="1"/>
        <v>726.27698254714335</v>
      </c>
      <c r="AC20" s="180">
        <v>785.08375103274352</v>
      </c>
      <c r="AD20" s="349">
        <f>end_use!Q6</f>
        <v>0.92509491069170335</v>
      </c>
      <c r="AE20" s="130">
        <f t="shared" si="7"/>
        <v>726.27698254714335</v>
      </c>
      <c r="AF20" s="84">
        <f t="shared" si="8"/>
        <v>58.806768485600173</v>
      </c>
      <c r="AG20" s="103">
        <f t="shared" si="12"/>
        <v>0.9</v>
      </c>
      <c r="AH20" s="92">
        <f t="shared" si="9"/>
        <v>9.9999999999999978E-2</v>
      </c>
      <c r="AI20" s="99">
        <f t="shared" si="13"/>
        <v>0</v>
      </c>
      <c r="AJ20" s="18">
        <f t="shared" si="11"/>
        <v>1</v>
      </c>
    </row>
    <row r="21" spans="1:36">
      <c r="A21" s="1" t="s">
        <v>18</v>
      </c>
      <c r="B21" s="29">
        <v>0</v>
      </c>
      <c r="C21" s="30">
        <v>0</v>
      </c>
      <c r="D21" s="30">
        <v>0</v>
      </c>
      <c r="E21" s="85">
        <f t="shared" si="6"/>
        <v>56.901542707028831</v>
      </c>
      <c r="F21" s="85">
        <f t="shared" si="3"/>
        <v>6.322393634114313</v>
      </c>
      <c r="G21" s="30">
        <v>0</v>
      </c>
      <c r="H21" s="30">
        <v>0</v>
      </c>
      <c r="I21" s="30">
        <v>0</v>
      </c>
      <c r="J21" s="30">
        <v>0</v>
      </c>
      <c r="K21" s="30">
        <v>0</v>
      </c>
      <c r="L21" s="30">
        <v>0</v>
      </c>
      <c r="M21" s="30">
        <v>0</v>
      </c>
      <c r="N21" s="30">
        <v>0</v>
      </c>
      <c r="O21" s="30">
        <v>0</v>
      </c>
      <c r="P21" s="30">
        <v>0</v>
      </c>
      <c r="Q21" s="30">
        <v>0</v>
      </c>
      <c r="R21" s="30">
        <v>0</v>
      </c>
      <c r="S21" s="30">
        <v>0</v>
      </c>
      <c r="T21" s="30">
        <v>0</v>
      </c>
      <c r="U21" s="30">
        <v>0</v>
      </c>
      <c r="V21" s="30">
        <v>0</v>
      </c>
      <c r="W21" s="35">
        <v>0</v>
      </c>
      <c r="X21" s="110">
        <f>end_use!M7</f>
        <v>611.73678336143792</v>
      </c>
      <c r="Y21" s="36">
        <v>0</v>
      </c>
      <c r="Z21" s="36">
        <v>0</v>
      </c>
      <c r="AA21" s="10">
        <v>0</v>
      </c>
      <c r="AB21" s="81">
        <f t="shared" si="1"/>
        <v>611.73678336143792</v>
      </c>
      <c r="AC21" s="180">
        <v>674.96071970258106</v>
      </c>
      <c r="AD21" s="349">
        <f>end_use!Q7</f>
        <v>0.90632945815127952</v>
      </c>
      <c r="AE21" s="130">
        <f t="shared" si="7"/>
        <v>611.73678336143792</v>
      </c>
      <c r="AF21" s="84">
        <f t="shared" si="8"/>
        <v>63.223936341143144</v>
      </c>
      <c r="AG21" s="103">
        <f t="shared" si="12"/>
        <v>0.9</v>
      </c>
      <c r="AH21" s="92">
        <f t="shared" si="9"/>
        <v>9.9999999999999978E-2</v>
      </c>
      <c r="AI21" s="99">
        <f t="shared" si="13"/>
        <v>0</v>
      </c>
      <c r="AJ21" s="18">
        <f t="shared" si="11"/>
        <v>1</v>
      </c>
    </row>
    <row r="22" spans="1:36">
      <c r="A22" s="1" t="s">
        <v>19</v>
      </c>
      <c r="B22" s="29">
        <v>0</v>
      </c>
      <c r="C22" s="30">
        <v>0</v>
      </c>
      <c r="D22" s="30">
        <v>0</v>
      </c>
      <c r="E22" s="85">
        <f t="shared" si="6"/>
        <v>286.68991207103471</v>
      </c>
      <c r="F22" s="85">
        <f t="shared" si="3"/>
        <v>31.854434674559403</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5">
        <v>0</v>
      </c>
      <c r="X22" s="110">
        <f>end_use!M8</f>
        <v>1699.8360835751289</v>
      </c>
      <c r="Y22" s="36">
        <v>0</v>
      </c>
      <c r="Z22" s="36">
        <v>0</v>
      </c>
      <c r="AA22" s="10">
        <v>0</v>
      </c>
      <c r="AB22" s="81">
        <f t="shared" si="1"/>
        <v>1699.8360835751289</v>
      </c>
      <c r="AC22" s="180">
        <v>2018.380430320723</v>
      </c>
      <c r="AD22" s="349">
        <f>end_use!Q8</f>
        <v>0.84217824253529006</v>
      </c>
      <c r="AE22" s="130">
        <f t="shared" si="7"/>
        <v>1699.8360835751289</v>
      </c>
      <c r="AF22" s="84">
        <f t="shared" si="8"/>
        <v>318.54434674559411</v>
      </c>
      <c r="AG22" s="103">
        <f t="shared" si="12"/>
        <v>0.9</v>
      </c>
      <c r="AH22" s="92">
        <f t="shared" si="9"/>
        <v>9.9999999999999978E-2</v>
      </c>
      <c r="AI22" s="99">
        <f t="shared" si="13"/>
        <v>0</v>
      </c>
      <c r="AJ22" s="18">
        <f t="shared" si="11"/>
        <v>1</v>
      </c>
    </row>
    <row r="23" spans="1:36" ht="16.2" thickBot="1">
      <c r="A23" s="1" t="s">
        <v>20</v>
      </c>
      <c r="B23" s="31">
        <v>0</v>
      </c>
      <c r="C23" s="32">
        <v>0</v>
      </c>
      <c r="D23" s="32">
        <v>0</v>
      </c>
      <c r="E23" s="85">
        <f t="shared" si="6"/>
        <v>7.0840010066113903</v>
      </c>
      <c r="F23" s="85">
        <f t="shared" si="3"/>
        <v>0.78711122295682101</v>
      </c>
      <c r="G23" s="32">
        <v>0</v>
      </c>
      <c r="H23" s="32">
        <v>0</v>
      </c>
      <c r="I23" s="32">
        <v>0</v>
      </c>
      <c r="J23" s="32">
        <v>0</v>
      </c>
      <c r="K23" s="32">
        <v>0</v>
      </c>
      <c r="L23" s="32">
        <v>0</v>
      </c>
      <c r="M23" s="32">
        <v>0</v>
      </c>
      <c r="N23" s="32">
        <v>0</v>
      </c>
      <c r="O23" s="32">
        <v>0</v>
      </c>
      <c r="P23" s="32">
        <v>0</v>
      </c>
      <c r="Q23" s="32">
        <v>0</v>
      </c>
      <c r="R23" s="32">
        <v>0</v>
      </c>
      <c r="S23" s="32">
        <v>0</v>
      </c>
      <c r="T23" s="32">
        <v>0</v>
      </c>
      <c r="U23" s="32">
        <v>0</v>
      </c>
      <c r="V23" s="32">
        <v>0</v>
      </c>
      <c r="W23" s="38">
        <v>0</v>
      </c>
      <c r="X23" s="111">
        <f>end_use!M9</f>
        <v>271.29686756313095</v>
      </c>
      <c r="Y23" s="42">
        <v>0</v>
      </c>
      <c r="Z23" s="42">
        <v>0</v>
      </c>
      <c r="AA23" s="13">
        <v>0</v>
      </c>
      <c r="AB23" s="82">
        <f t="shared" si="1"/>
        <v>271.29686756313095</v>
      </c>
      <c r="AC23" s="183">
        <v>279.16797979269916</v>
      </c>
      <c r="AD23" s="350">
        <f>end_use!Q9</f>
        <v>0.97180510373928608</v>
      </c>
      <c r="AE23" s="131">
        <f t="shared" si="7"/>
        <v>271.29686756313095</v>
      </c>
      <c r="AF23" s="84">
        <f t="shared" si="8"/>
        <v>7.8711122295682117</v>
      </c>
      <c r="AG23" s="104">
        <f t="shared" si="12"/>
        <v>0.9</v>
      </c>
      <c r="AH23" s="102">
        <f t="shared" si="9"/>
        <v>9.9999999999999978E-2</v>
      </c>
      <c r="AI23" s="100">
        <f t="shared" si="13"/>
        <v>0</v>
      </c>
      <c r="AJ23" s="18">
        <f t="shared" si="11"/>
        <v>1</v>
      </c>
    </row>
    <row r="24" spans="1:36">
      <c r="A24" s="9" t="s">
        <v>186</v>
      </c>
      <c r="B24" s="36">
        <f>SUM(B2:B23)</f>
        <v>0</v>
      </c>
      <c r="C24" s="36">
        <f>SUM(C2:C23)</f>
        <v>0</v>
      </c>
      <c r="D24" s="36">
        <f>SUM(D2:D23)</f>
        <v>385.41176470588238</v>
      </c>
      <c r="E24" s="36">
        <f t="shared" ref="E24:AC24" si="14">SUM(E2:E23)</f>
        <v>5427.0649212859398</v>
      </c>
      <c r="F24" s="36">
        <f t="shared" si="14"/>
        <v>2022.1088679764516</v>
      </c>
      <c r="G24" s="36">
        <f t="shared" si="14"/>
        <v>7187.9114384027753</v>
      </c>
      <c r="H24" s="36">
        <f t="shared" si="14"/>
        <v>2226.9694493320285</v>
      </c>
      <c r="I24" s="36">
        <f t="shared" si="14"/>
        <v>4834.8536015484351</v>
      </c>
      <c r="J24" s="36">
        <f t="shared" si="14"/>
        <v>1916.9599869421991</v>
      </c>
      <c r="K24" s="36">
        <f t="shared" si="14"/>
        <v>378.41423090360735</v>
      </c>
      <c r="L24" s="36">
        <f t="shared" si="14"/>
        <v>131.72095631794411</v>
      </c>
      <c r="M24" s="36">
        <f t="shared" si="14"/>
        <v>1083.8643351850683</v>
      </c>
      <c r="N24" s="36">
        <f t="shared" si="14"/>
        <v>743.34429238092264</v>
      </c>
      <c r="O24" s="36">
        <f t="shared" si="14"/>
        <v>340.04770923189494</v>
      </c>
      <c r="P24" s="84">
        <f t="shared" si="14"/>
        <v>1119.6016322178994</v>
      </c>
      <c r="Q24" s="84">
        <f t="shared" si="14"/>
        <v>1759.3739934852701</v>
      </c>
      <c r="R24" s="84">
        <f t="shared" si="14"/>
        <v>914.6635626470877</v>
      </c>
      <c r="S24" s="84">
        <f t="shared" si="14"/>
        <v>561.73419412376859</v>
      </c>
      <c r="T24" s="84">
        <f t="shared" si="14"/>
        <v>679.14296811459394</v>
      </c>
      <c r="U24" s="84">
        <f t="shared" si="14"/>
        <v>583.88016047533142</v>
      </c>
      <c r="V24" s="84">
        <f t="shared" si="14"/>
        <v>1746.0161090192482</v>
      </c>
      <c r="W24" s="84">
        <f t="shared" si="14"/>
        <v>241.49649021466152</v>
      </c>
      <c r="X24" s="162">
        <f t="shared" si="14"/>
        <v>7710.6565341765227</v>
      </c>
      <c r="Y24" s="161">
        <f t="shared" si="14"/>
        <v>853.07999999999993</v>
      </c>
      <c r="Z24" s="84">
        <f>SUM(Z2:Z23)</f>
        <v>2402.5051070460763</v>
      </c>
      <c r="AA24" s="84">
        <f t="shared" si="14"/>
        <v>596.95190884575027</v>
      </c>
      <c r="AB24" s="114">
        <f t="shared" si="14"/>
        <v>11563.193550068348</v>
      </c>
      <c r="AC24" s="106">
        <f t="shared" si="14"/>
        <v>45847.77421457936</v>
      </c>
    </row>
    <row r="25" spans="1:36" ht="16.2" thickBot="1">
      <c r="A25" s="9" t="s">
        <v>187</v>
      </c>
      <c r="B25" s="36" cm="1">
        <f t="array" ref="B25:W25">TRANSPOSE(AC2:AC23)</f>
        <v>726.05000000000007</v>
      </c>
      <c r="C25" s="36">
        <v>5753.614963352793</v>
      </c>
      <c r="D25" s="36">
        <v>1025.0311764705882</v>
      </c>
      <c r="E25" s="36">
        <v>6812.7419894677805</v>
      </c>
      <c r="F25" s="36">
        <v>2100.5073743431085</v>
      </c>
      <c r="G25" s="36">
        <v>7353.6400481327937</v>
      </c>
      <c r="H25" s="36">
        <v>2280.5650643772769</v>
      </c>
      <c r="I25" s="36">
        <v>5688.0630606452178</v>
      </c>
      <c r="J25" s="36">
        <v>2396.1999836777486</v>
      </c>
      <c r="K25" s="36">
        <v>473.01778862950914</v>
      </c>
      <c r="L25" s="36">
        <v>164.65119539743014</v>
      </c>
      <c r="M25" s="36">
        <v>1140.9098265105984</v>
      </c>
      <c r="N25" s="36">
        <v>782.46767619044488</v>
      </c>
      <c r="O25" s="36">
        <v>357.94495708620519</v>
      </c>
      <c r="P25" s="84">
        <v>1294.2503866662978</v>
      </c>
      <c r="Q25" s="84">
        <v>2033.8220361898971</v>
      </c>
      <c r="R25" s="84">
        <v>1057.3436439892332</v>
      </c>
      <c r="S25" s="84">
        <v>649.36016260368729</v>
      </c>
      <c r="T25" s="84">
        <v>785.08375103274352</v>
      </c>
      <c r="U25" s="84">
        <v>674.96071970258106</v>
      </c>
      <c r="V25" s="84">
        <v>2018.380430320723</v>
      </c>
      <c r="W25" s="84">
        <v>279.16797979269916</v>
      </c>
      <c r="X25" s="36"/>
      <c r="AC25" s="51"/>
      <c r="AG25" s="483">
        <v>0.9</v>
      </c>
      <c r="AH25" t="s">
        <v>395</v>
      </c>
    </row>
    <row r="26" spans="1:36" ht="16.2" thickBot="1">
      <c r="A26" s="9" t="s">
        <v>90</v>
      </c>
      <c r="B26" s="84">
        <f>B27</f>
        <v>726.05000000000007</v>
      </c>
      <c r="C26" s="84">
        <f>C27</f>
        <v>1369.2420715382623</v>
      </c>
      <c r="D26" s="84">
        <f t="shared" ref="D26:I26" si="15">D25-D24</f>
        <v>639.61941176470577</v>
      </c>
      <c r="E26" s="84">
        <f t="shared" si="15"/>
        <v>1385.6770681818407</v>
      </c>
      <c r="F26" s="84">
        <f t="shared" si="15"/>
        <v>78.398506366656875</v>
      </c>
      <c r="G26" s="84">
        <f t="shared" si="15"/>
        <v>165.72860973001843</v>
      </c>
      <c r="H26" s="84">
        <f t="shared" si="15"/>
        <v>53.595615045248451</v>
      </c>
      <c r="I26" s="86">
        <f t="shared" si="15"/>
        <v>853.20945909678267</v>
      </c>
      <c r="J26" s="87">
        <f t="shared" ref="J26:O26" si="16">J25-J24</f>
        <v>479.23999673554954</v>
      </c>
      <c r="K26" s="87">
        <f t="shared" si="16"/>
        <v>94.603557725901794</v>
      </c>
      <c r="L26" s="87">
        <f t="shared" si="16"/>
        <v>32.930239079486029</v>
      </c>
      <c r="M26" s="87">
        <f t="shared" si="16"/>
        <v>57.045491325530065</v>
      </c>
      <c r="N26" s="87">
        <f t="shared" si="16"/>
        <v>39.123383809522238</v>
      </c>
      <c r="O26" s="88">
        <f t="shared" si="16"/>
        <v>17.897247854310251</v>
      </c>
      <c r="P26" s="86">
        <f>P25-P24</f>
        <v>174.64875444839845</v>
      </c>
      <c r="Q26" s="87">
        <f t="shared" ref="Q26:W26" si="17">Q25-Q24</f>
        <v>274.44804270462691</v>
      </c>
      <c r="R26" s="87">
        <f t="shared" si="17"/>
        <v>142.68008134214551</v>
      </c>
      <c r="S26" s="87">
        <f t="shared" si="17"/>
        <v>87.625968479918697</v>
      </c>
      <c r="T26" s="87">
        <f t="shared" si="17"/>
        <v>105.94078291814958</v>
      </c>
      <c r="U26" s="87">
        <f t="shared" si="17"/>
        <v>91.080559227249637</v>
      </c>
      <c r="V26" s="87">
        <f t="shared" si="17"/>
        <v>272.36432130147477</v>
      </c>
      <c r="W26" s="88">
        <f t="shared" si="17"/>
        <v>37.671489578037637</v>
      </c>
      <c r="AC26" s="53" t="b">
        <f>(AC24-A!AC52)&lt;0.00001</f>
        <v>1</v>
      </c>
      <c r="AG26" s="483">
        <f>0.9</f>
        <v>0.9</v>
      </c>
      <c r="AH26" t="s">
        <v>396</v>
      </c>
    </row>
    <row r="27" spans="1:36">
      <c r="B27" s="78">
        <f>upstream!C3</f>
        <v>726.05000000000007</v>
      </c>
      <c r="C27" s="78">
        <f>upstream!M4</f>
        <v>1369.2420715382623</v>
      </c>
      <c r="D27" s="78">
        <f>upstream!C9</f>
        <v>639.61941176470577</v>
      </c>
      <c r="E27" s="78">
        <f>upstream!W17</f>
        <v>1385.6770681818414</v>
      </c>
      <c r="F27" s="78">
        <f>upstream!W29</f>
        <v>78.39850636665733</v>
      </c>
      <c r="G27" s="36"/>
      <c r="H27" t="s">
        <v>181</v>
      </c>
      <c r="I27" s="36">
        <f>I7/I25</f>
        <v>0.85</v>
      </c>
      <c r="J27" s="36">
        <f>I27</f>
        <v>0.85</v>
      </c>
      <c r="K27" s="36">
        <f>I27</f>
        <v>0.85</v>
      </c>
      <c r="L27" s="36">
        <f>I27</f>
        <v>0.85</v>
      </c>
      <c r="M27" s="36">
        <f>M8/M25</f>
        <v>0.94999999999999984</v>
      </c>
      <c r="N27" s="36">
        <f>N8/N25</f>
        <v>0.95</v>
      </c>
      <c r="O27" s="36">
        <f>O8/O25</f>
        <v>0.95000000000000007</v>
      </c>
      <c r="W27" s="161">
        <f>SUM(P26:W26)</f>
        <v>1186.4600000000012</v>
      </c>
      <c r="X27" s="36"/>
      <c r="AG27" s="97">
        <v>1</v>
      </c>
      <c r="AH27" t="s">
        <v>86</v>
      </c>
    </row>
    <row r="28" spans="1:36">
      <c r="I28" s="36"/>
      <c r="X28" s="36"/>
      <c r="AG28" s="97">
        <v>1</v>
      </c>
      <c r="AH28" t="s">
        <v>87</v>
      </c>
    </row>
    <row r="29" spans="1:36">
      <c r="E29" s="36"/>
      <c r="F29" s="36"/>
      <c r="I29" s="173"/>
    </row>
    <row r="30" spans="1:36" ht="16.2" thickBot="1">
      <c r="D30" t="s">
        <v>110</v>
      </c>
      <c r="E30" s="84">
        <f>E3+F3</f>
        <v>3858.9333857184811</v>
      </c>
      <c r="P30" t="s">
        <v>37</v>
      </c>
      <c r="Q30" t="s">
        <v>38</v>
      </c>
      <c r="R30" t="s">
        <v>39</v>
      </c>
      <c r="S30" t="s">
        <v>40</v>
      </c>
      <c r="T30" t="s">
        <v>41</v>
      </c>
      <c r="U30" t="s">
        <v>42</v>
      </c>
      <c r="V30" t="s">
        <v>43</v>
      </c>
      <c r="W30" t="s">
        <v>44</v>
      </c>
      <c r="AC30" s="36"/>
    </row>
    <row r="31" spans="1:36" ht="16.2" thickBot="1">
      <c r="D31" t="s">
        <v>96</v>
      </c>
      <c r="E31" s="84">
        <f>SUM(E9:E23)+SUM(F9:F23)</f>
        <v>3527.5343956583692</v>
      </c>
      <c r="O31" t="s">
        <v>80</v>
      </c>
      <c r="P31" s="252" t="s">
        <v>13</v>
      </c>
      <c r="Q31" s="2" t="s">
        <v>14</v>
      </c>
      <c r="R31" s="2" t="s">
        <v>15</v>
      </c>
      <c r="S31" s="2" t="s">
        <v>16</v>
      </c>
      <c r="T31" s="2" t="s">
        <v>17</v>
      </c>
      <c r="U31" s="2" t="s">
        <v>18</v>
      </c>
      <c r="V31" s="2" t="s">
        <v>19</v>
      </c>
      <c r="W31" s="253" t="s">
        <v>20</v>
      </c>
      <c r="X31" s="46" t="s">
        <v>162</v>
      </c>
      <c r="Y31" s="46" t="s">
        <v>77</v>
      </c>
      <c r="AC31" s="36"/>
    </row>
    <row r="32" spans="1:36">
      <c r="N32" t="s">
        <v>152</v>
      </c>
      <c r="O32" s="247" t="s">
        <v>7</v>
      </c>
      <c r="P32" s="117">
        <f>downstream!B3+downstream!B4</f>
        <v>1237</v>
      </c>
      <c r="Q32" s="118">
        <f>downstream!C3+downstream!C4</f>
        <v>1790</v>
      </c>
      <c r="R32" s="118">
        <f>downstream!D3+downstream!D4</f>
        <v>1174</v>
      </c>
      <c r="S32" s="118">
        <f>downstream!E3+downstream!E4</f>
        <v>759</v>
      </c>
      <c r="T32" s="118">
        <f>downstream!F3+downstream!F4</f>
        <v>335</v>
      </c>
      <c r="U32" s="118">
        <f>downstream!G3+downstream!G4</f>
        <v>570</v>
      </c>
      <c r="V32" s="118">
        <f>downstream!H3+downstream!H4</f>
        <v>4966</v>
      </c>
      <c r="W32" s="119">
        <f>downstream!I3+downstream!I4</f>
        <v>65</v>
      </c>
      <c r="X32" s="249">
        <f>SUM(P32:W32)</f>
        <v>10896</v>
      </c>
      <c r="Y32" s="125">
        <f>downstream!K3+downstream!K4</f>
        <v>632</v>
      </c>
      <c r="AB32" s="59"/>
      <c r="AC32" s="59"/>
    </row>
    <row r="33" spans="2:29">
      <c r="N33" t="s">
        <v>57</v>
      </c>
      <c r="O33" s="248" t="s">
        <v>8</v>
      </c>
      <c r="P33" s="120">
        <f>downstream!B5</f>
        <v>1884</v>
      </c>
      <c r="Q33" s="583">
        <f>downstream!C5</f>
        <v>508</v>
      </c>
      <c r="R33" s="583">
        <f>downstream!D5</f>
        <v>846</v>
      </c>
      <c r="S33" s="583">
        <f>downstream!E5</f>
        <v>471</v>
      </c>
      <c r="T33" s="583">
        <f>downstream!F5</f>
        <v>470</v>
      </c>
      <c r="U33" s="583">
        <f>downstream!G5</f>
        <v>469</v>
      </c>
      <c r="V33" s="583">
        <f>downstream!H5</f>
        <v>0</v>
      </c>
      <c r="W33" s="121">
        <f>downstream!I5</f>
        <v>79</v>
      </c>
      <c r="X33" s="250">
        <f t="shared" ref="X33:X38" si="18">SUM(P33:W33)</f>
        <v>4727</v>
      </c>
      <c r="Y33" s="126">
        <f>downstream!K5</f>
        <v>350</v>
      </c>
      <c r="AB33" s="59"/>
      <c r="AC33" s="59"/>
    </row>
    <row r="34" spans="2:29">
      <c r="N34" t="s">
        <v>113</v>
      </c>
      <c r="O34" s="248" t="s">
        <v>9</v>
      </c>
      <c r="P34" s="120">
        <f>downstream!B6</f>
        <v>28</v>
      </c>
      <c r="Q34" s="583">
        <f>downstream!C6</f>
        <v>4</v>
      </c>
      <c r="R34" s="583">
        <f>downstream!D6</f>
        <v>14</v>
      </c>
      <c r="S34" s="583">
        <f>downstream!E6</f>
        <v>5</v>
      </c>
      <c r="T34" s="583">
        <f>downstream!F6</f>
        <v>907</v>
      </c>
      <c r="U34" s="583">
        <f>downstream!G6</f>
        <v>14</v>
      </c>
      <c r="V34" s="583">
        <f>downstream!H6</f>
        <v>1</v>
      </c>
      <c r="W34" s="121">
        <f>downstream!I6</f>
        <v>5</v>
      </c>
      <c r="X34" s="250">
        <f t="shared" si="18"/>
        <v>978</v>
      </c>
      <c r="Y34" s="126">
        <f>downstream!K6</f>
        <v>18</v>
      </c>
      <c r="AB34" s="59"/>
      <c r="AC34" s="59"/>
    </row>
    <row r="35" spans="2:29" ht="16.2" thickBot="1">
      <c r="D35" s="72"/>
      <c r="E35" s="72" t="s">
        <v>137</v>
      </c>
      <c r="F35" s="72" t="s">
        <v>134</v>
      </c>
      <c r="G35" s="72" t="s">
        <v>77</v>
      </c>
      <c r="H35" s="72" t="s">
        <v>138</v>
      </c>
      <c r="I35" s="72" t="s">
        <v>139</v>
      </c>
      <c r="J35" s="72" t="s">
        <v>454</v>
      </c>
      <c r="N35" t="s">
        <v>141</v>
      </c>
      <c r="O35" s="248" t="s">
        <v>78</v>
      </c>
      <c r="P35" s="584">
        <f>downstream!B7+downstream!B8</f>
        <v>0</v>
      </c>
      <c r="Q35" s="585">
        <f>downstream!C7+downstream!C8</f>
        <v>73</v>
      </c>
      <c r="R35" s="585">
        <f>downstream!D7+downstream!D8</f>
        <v>141</v>
      </c>
      <c r="S35" s="585">
        <f>downstream!E7+downstream!E8</f>
        <v>18</v>
      </c>
      <c r="T35" s="585">
        <f>downstream!F7+downstream!F8</f>
        <v>1</v>
      </c>
      <c r="U35" s="585">
        <f>downstream!G7+downstream!G8</f>
        <v>10</v>
      </c>
      <c r="V35" s="585">
        <f>downstream!H7+downstream!H8</f>
        <v>0</v>
      </c>
      <c r="W35" s="586">
        <f>downstream!I7+downstream!I8</f>
        <v>108</v>
      </c>
      <c r="X35" s="250">
        <f t="shared" si="18"/>
        <v>351</v>
      </c>
      <c r="Y35" s="126">
        <f>downstream!K7+downstream!K8</f>
        <v>27</v>
      </c>
      <c r="AB35" s="59"/>
      <c r="AC35" s="59"/>
    </row>
    <row r="36" spans="2:29">
      <c r="D36" s="72" t="s">
        <v>104</v>
      </c>
      <c r="E36" s="254">
        <f>AE4</f>
        <v>1010</v>
      </c>
      <c r="F36" s="255">
        <f>E27+F27+G26+H26</f>
        <v>1683.3997993237656</v>
      </c>
      <c r="G36" s="255">
        <v>0</v>
      </c>
      <c r="H36" s="256">
        <f>SUM(E4:H4)+SUM(E26:H26)</f>
        <v>2693.3997993237645</v>
      </c>
      <c r="I36" s="551">
        <f>E36+F36-G36</f>
        <v>2693.3997993237654</v>
      </c>
      <c r="J36" s="551">
        <f>E36-G36</f>
        <v>1010</v>
      </c>
      <c r="M36" s="83">
        <f>SUM(P36:W36)</f>
        <v>2343.0105263157898</v>
      </c>
      <c r="N36" t="s">
        <v>149</v>
      </c>
      <c r="O36" s="248" t="s">
        <v>10</v>
      </c>
      <c r="P36" s="120">
        <f>downstream!B$9*P47</f>
        <v>36</v>
      </c>
      <c r="Q36" s="583">
        <f>downstream!C$9*Q47</f>
        <v>1104.6000000000001</v>
      </c>
      <c r="R36" s="583">
        <f>downstream!D$9*R47</f>
        <v>247.21052631578962</v>
      </c>
      <c r="S36" s="583">
        <f>downstream!E$9*S47</f>
        <v>207</v>
      </c>
      <c r="T36" s="583">
        <f>downstream!F$9*T47</f>
        <v>131.4</v>
      </c>
      <c r="U36" s="583">
        <f>downstream!G$9*U47</f>
        <v>358.8</v>
      </c>
      <c r="V36" s="583">
        <f>downstream!H$9*V47</f>
        <v>0</v>
      </c>
      <c r="W36" s="121">
        <f>downstream!I$9*W47</f>
        <v>258</v>
      </c>
      <c r="X36" s="250">
        <f t="shared" si="18"/>
        <v>2343.0105263157898</v>
      </c>
      <c r="Y36" s="126">
        <f>downstream!K$9*L47</f>
        <v>868.18917261135766</v>
      </c>
      <c r="AB36" s="59"/>
      <c r="AC36" s="59"/>
    </row>
    <row r="37" spans="2:29">
      <c r="D37" s="72" t="s">
        <v>52</v>
      </c>
      <c r="E37" s="257">
        <f>upstream!M2+E31</f>
        <v>7911.9072874729</v>
      </c>
      <c r="F37" s="258">
        <f>upstream!M4</f>
        <v>1369.2420715382623</v>
      </c>
      <c r="G37" s="258">
        <f>upstream!M3</f>
        <v>1894.6815776343117</v>
      </c>
      <c r="H37" s="259">
        <f>E3+F3+SUM(E9:E23)+SUM(F9:F23)</f>
        <v>7386.4677813768503</v>
      </c>
      <c r="I37" s="551">
        <f>E37+F37-G37</f>
        <v>7386.4677813768503</v>
      </c>
      <c r="J37" s="551">
        <f t="shared" ref="J37:J40" si="19">E37-G37</f>
        <v>6017.225709838588</v>
      </c>
      <c r="M37" s="83">
        <f>SUM(P37:W37)</f>
        <v>1606.901754385965</v>
      </c>
      <c r="N37" t="s">
        <v>115</v>
      </c>
      <c r="O37" s="248" t="s">
        <v>11</v>
      </c>
      <c r="P37" s="120">
        <f>downstream!B$9*P48</f>
        <v>0</v>
      </c>
      <c r="Q37" s="583">
        <f>downstream!C$9*Q48</f>
        <v>1016.9333333333333</v>
      </c>
      <c r="R37" s="583">
        <f>downstream!D$9*R48</f>
        <v>112.36842105263152</v>
      </c>
      <c r="S37" s="583">
        <f>downstream!E$9*S48</f>
        <v>103.5</v>
      </c>
      <c r="T37" s="583">
        <f>downstream!F$9*T48</f>
        <v>65.7</v>
      </c>
      <c r="U37" s="583">
        <f>downstream!G$9*U48</f>
        <v>179.4</v>
      </c>
      <c r="V37" s="583">
        <f>downstream!H$9*V48</f>
        <v>0</v>
      </c>
      <c r="W37" s="121">
        <f>downstream!I$9*W48</f>
        <v>129</v>
      </c>
      <c r="X37" s="250">
        <f t="shared" si="18"/>
        <v>1606.901754385965</v>
      </c>
      <c r="Y37" s="126">
        <f>downstream!K$9*L48</f>
        <v>595.42827014173633</v>
      </c>
      <c r="AB37" s="59"/>
      <c r="AC37" s="59"/>
    </row>
    <row r="38" spans="2:29" ht="16.2" thickBot="1">
      <c r="D38" s="72" t="s">
        <v>270</v>
      </c>
      <c r="E38" s="257">
        <f>AE7+AE8</f>
        <v>9634.2051125100697</v>
      </c>
      <c r="F38" s="260">
        <f>SUM(I26:O26)</f>
        <v>1574.0493756270826</v>
      </c>
      <c r="G38" s="258">
        <f>Z7+Z8</f>
        <v>205</v>
      </c>
      <c r="H38" s="259">
        <f>SUM(AC9:AC15)</f>
        <v>11003.254488137154</v>
      </c>
      <c r="I38" s="551">
        <f>E38+F38-G38</f>
        <v>11003.254488137152</v>
      </c>
      <c r="J38" s="551">
        <f t="shared" si="19"/>
        <v>9429.2051125100697</v>
      </c>
      <c r="M38" s="83">
        <f>SUM(P38:W38)</f>
        <v>735.08771929824536</v>
      </c>
      <c r="N38" t="s">
        <v>148</v>
      </c>
      <c r="O38" s="77" t="s">
        <v>12</v>
      </c>
      <c r="P38" s="122">
        <f>downstream!B$9*P49</f>
        <v>0</v>
      </c>
      <c r="Q38" s="123">
        <f>downstream!C$9*Q49</f>
        <v>508.46666666666664</v>
      </c>
      <c r="R38" s="123">
        <f>downstream!D$9*R49</f>
        <v>67.421052631578846</v>
      </c>
      <c r="S38" s="123">
        <f>downstream!E$9*S49</f>
        <v>34.5</v>
      </c>
      <c r="T38" s="123">
        <f>downstream!F$9*T49</f>
        <v>21.900000000000002</v>
      </c>
      <c r="U38" s="123">
        <f>downstream!G$9*U49</f>
        <v>59.800000000000004</v>
      </c>
      <c r="V38" s="123">
        <f>downstream!H$9*V49</f>
        <v>0</v>
      </c>
      <c r="W38" s="124">
        <f>downstream!I$9*W49</f>
        <v>43</v>
      </c>
      <c r="X38" s="251">
        <f t="shared" si="18"/>
        <v>735.08771929824536</v>
      </c>
      <c r="Y38" s="127">
        <f>downstream!K$9*L49</f>
        <v>272.38255724690583</v>
      </c>
      <c r="AB38" s="59"/>
      <c r="AC38" s="59"/>
    </row>
    <row r="39" spans="2:29">
      <c r="D39" s="72" t="s">
        <v>75</v>
      </c>
      <c r="E39" s="257">
        <f>Y50</f>
        <v>8458.9891102978618</v>
      </c>
      <c r="F39" s="258">
        <f>W27</f>
        <v>1186.4600000000012</v>
      </c>
      <c r="G39" s="258">
        <f>Y24</f>
        <v>853.07999999999993</v>
      </c>
      <c r="H39" s="261">
        <f>Y51</f>
        <v>8792.369110297861</v>
      </c>
      <c r="I39" s="551">
        <f>E39+F39-G39</f>
        <v>8792.3691102978628</v>
      </c>
      <c r="J39" s="551">
        <f t="shared" si="19"/>
        <v>7605.9091102978618</v>
      </c>
      <c r="M39" s="45">
        <f>SUM(M36:M38)</f>
        <v>4685</v>
      </c>
      <c r="O39" s="43" t="s">
        <v>98</v>
      </c>
      <c r="P39" s="63">
        <f>SUM(P32:P38)</f>
        <v>3185</v>
      </c>
      <c r="Q39" s="63">
        <f t="shared" ref="Q39:W39" si="20">SUM(Q32:Q38)</f>
        <v>5005</v>
      </c>
      <c r="R39" s="63">
        <f t="shared" si="20"/>
        <v>2602</v>
      </c>
      <c r="S39" s="63">
        <f t="shared" si="20"/>
        <v>1598</v>
      </c>
      <c r="T39" s="63">
        <f t="shared" si="20"/>
        <v>1932.0000000000002</v>
      </c>
      <c r="U39" s="63">
        <f t="shared" si="20"/>
        <v>1661</v>
      </c>
      <c r="V39" s="63">
        <f t="shared" si="20"/>
        <v>4967</v>
      </c>
      <c r="W39" s="63">
        <f t="shared" si="20"/>
        <v>687</v>
      </c>
      <c r="X39" s="63">
        <f>SUM(X32:X38)</f>
        <v>21637</v>
      </c>
      <c r="Y39" s="63">
        <f>SUM(Y32:Y38)</f>
        <v>2763</v>
      </c>
      <c r="Z39" s="74">
        <f>SUM(X39:Y39)</f>
        <v>24400</v>
      </c>
      <c r="AA39" s="36"/>
      <c r="AB39" s="73"/>
      <c r="AC39" s="59"/>
    </row>
    <row r="40" spans="2:29" ht="16.2" thickBot="1">
      <c r="D40" s="72" t="s">
        <v>429</v>
      </c>
      <c r="E40" s="262">
        <f>X24</f>
        <v>7710.6565341765227</v>
      </c>
      <c r="F40" s="263">
        <f>end_use!N10</f>
        <v>2545.5823925923919</v>
      </c>
      <c r="G40" s="263">
        <f>end_use!O10</f>
        <v>1235.1577941773421</v>
      </c>
      <c r="H40" s="264">
        <f>end_use!P10</f>
        <v>9021.0811325915711</v>
      </c>
      <c r="I40" s="551">
        <f>E40+F40-G40</f>
        <v>9021.0811325915711</v>
      </c>
      <c r="J40" s="551">
        <f t="shared" si="19"/>
        <v>6475.4987399991805</v>
      </c>
      <c r="O40" s="43" t="s">
        <v>161</v>
      </c>
      <c r="P40" s="63">
        <f>P39*0.453592</f>
        <v>1444.6905199999999</v>
      </c>
      <c r="Q40" s="63">
        <f t="shared" ref="Q40:X40" si="21">Q39*0.453592</f>
        <v>2270.2279600000002</v>
      </c>
      <c r="R40" s="63">
        <f t="shared" si="21"/>
        <v>1180.246384</v>
      </c>
      <c r="S40" s="63">
        <f t="shared" si="21"/>
        <v>724.84001599999999</v>
      </c>
      <c r="T40" s="63">
        <f t="shared" si="21"/>
        <v>876.33974400000011</v>
      </c>
      <c r="U40" s="63">
        <f t="shared" si="21"/>
        <v>753.41631199999995</v>
      </c>
      <c r="V40" s="63">
        <f t="shared" si="21"/>
        <v>2252.9914640000002</v>
      </c>
      <c r="W40" s="63">
        <f t="shared" si="21"/>
        <v>311.617704</v>
      </c>
      <c r="X40" s="63">
        <f t="shared" si="21"/>
        <v>9814.3701039999996</v>
      </c>
      <c r="Y40" s="63">
        <f>Y39*0.453592</f>
        <v>1253.2746959999999</v>
      </c>
      <c r="Z40" s="74">
        <f>SUM(X40:Y40)</f>
        <v>11067.6448</v>
      </c>
      <c r="AA40" s="36"/>
    </row>
    <row r="41" spans="2:29">
      <c r="D41" s="72"/>
      <c r="E41" s="169"/>
      <c r="F41" s="168"/>
      <c r="G41" s="168"/>
      <c r="H41" s="170"/>
      <c r="I41" s="72"/>
      <c r="O41" s="75" t="s">
        <v>88</v>
      </c>
      <c r="P41" s="128">
        <f>331449281/(331449281+38526760)</f>
        <v>0.89586687857984837</v>
      </c>
      <c r="Q41" s="128">
        <f t="shared" ref="Q41:X41" si="22">331449281/(331449281+38526760)</f>
        <v>0.89586687857984837</v>
      </c>
      <c r="R41" s="128">
        <f t="shared" si="22"/>
        <v>0.89586687857984837</v>
      </c>
      <c r="S41" s="128">
        <f t="shared" si="22"/>
        <v>0.89586687857984837</v>
      </c>
      <c r="T41" s="128">
        <f t="shared" si="22"/>
        <v>0.89586687857984837</v>
      </c>
      <c r="U41" s="128">
        <f t="shared" si="22"/>
        <v>0.89586687857984837</v>
      </c>
      <c r="V41" s="128">
        <f t="shared" si="22"/>
        <v>0.89586687857984837</v>
      </c>
      <c r="W41" s="128">
        <f t="shared" si="22"/>
        <v>0.89586687857984837</v>
      </c>
      <c r="X41" s="128">
        <f t="shared" si="22"/>
        <v>0.89586687857984837</v>
      </c>
      <c r="Y41" s="98">
        <v>1</v>
      </c>
      <c r="Z41" s="59"/>
      <c r="AB41" s="36" t="s">
        <v>163</v>
      </c>
      <c r="AC41" s="36" t="s">
        <v>164</v>
      </c>
    </row>
    <row r="42" spans="2:29">
      <c r="F42" s="72" t="s">
        <v>140</v>
      </c>
      <c r="O42" s="76" t="s">
        <v>97</v>
      </c>
      <c r="P42" s="90">
        <f>P40*P41</f>
        <v>1294.2503866662978</v>
      </c>
      <c r="Q42" s="90">
        <f t="shared" ref="Q42:W42" si="23">Q40*Q41</f>
        <v>2033.8220361898971</v>
      </c>
      <c r="R42" s="90">
        <f t="shared" si="23"/>
        <v>1057.3436439892332</v>
      </c>
      <c r="S42" s="90">
        <f t="shared" si="23"/>
        <v>649.36016260368729</v>
      </c>
      <c r="T42" s="90">
        <f t="shared" si="23"/>
        <v>785.08375103274352</v>
      </c>
      <c r="U42" s="90">
        <f t="shared" si="23"/>
        <v>674.96071970258106</v>
      </c>
      <c r="V42" s="90">
        <f t="shared" si="23"/>
        <v>2018.380430320723</v>
      </c>
      <c r="W42" s="90">
        <f t="shared" si="23"/>
        <v>279.16797979269916</v>
      </c>
      <c r="X42" s="90">
        <f>X40*X41</f>
        <v>8792.369110297861</v>
      </c>
      <c r="Y42" s="91">
        <f>Y40*Y41</f>
        <v>1253.2746959999999</v>
      </c>
      <c r="Z42" s="129">
        <v>853.08</v>
      </c>
      <c r="AB42" s="96">
        <f>X42</f>
        <v>8792.369110297861</v>
      </c>
      <c r="AC42" s="108">
        <f>1186.46</f>
        <v>1186.46</v>
      </c>
    </row>
    <row r="43" spans="2:29">
      <c r="F43" s="168">
        <f>F36+F38</f>
        <v>3257.4491749508479</v>
      </c>
      <c r="O43" s="76" t="s">
        <v>165</v>
      </c>
      <c r="P43" s="92">
        <f t="shared" ref="P43:X43" si="24">$AB$43</f>
        <v>0.86505798549672053</v>
      </c>
      <c r="Q43" s="92">
        <f t="shared" si="24"/>
        <v>0.86505798549672053</v>
      </c>
      <c r="R43" s="92">
        <f t="shared" si="24"/>
        <v>0.86505798549672053</v>
      </c>
      <c r="S43" s="92">
        <f t="shared" si="24"/>
        <v>0.86505798549672053</v>
      </c>
      <c r="T43" s="92">
        <f t="shared" si="24"/>
        <v>0.86505798549672053</v>
      </c>
      <c r="U43" s="92">
        <f t="shared" si="24"/>
        <v>0.86505798549672053</v>
      </c>
      <c r="V43" s="92">
        <f t="shared" si="24"/>
        <v>0.86505798549672053</v>
      </c>
      <c r="W43" s="92">
        <f t="shared" si="24"/>
        <v>0.86505798549672053</v>
      </c>
      <c r="X43" s="92">
        <f t="shared" si="24"/>
        <v>0.86505798549672053</v>
      </c>
      <c r="Y43" s="93">
        <f>Z42/Y42</f>
        <v>0.68068078189300651</v>
      </c>
      <c r="AB43" s="92">
        <f>(AB42-AC42)/AB42</f>
        <v>0.86505798549672053</v>
      </c>
    </row>
    <row r="44" spans="2:29" ht="16.2" thickBot="1">
      <c r="M44" s="36"/>
      <c r="O44" s="77" t="s">
        <v>166</v>
      </c>
      <c r="P44" s="94">
        <f>P42*P43</f>
        <v>1119.6016322178991</v>
      </c>
      <c r="Q44" s="94">
        <f t="shared" ref="Q44:Y44" si="25">Q42*Q43</f>
        <v>1759.3739934852706</v>
      </c>
      <c r="R44" s="94">
        <f t="shared" si="25"/>
        <v>914.6635626470877</v>
      </c>
      <c r="S44" s="94">
        <f t="shared" si="25"/>
        <v>561.73419412376859</v>
      </c>
      <c r="T44" s="94">
        <f t="shared" si="25"/>
        <v>679.14296811459394</v>
      </c>
      <c r="U44" s="94">
        <f t="shared" si="25"/>
        <v>583.88016047533142</v>
      </c>
      <c r="V44" s="94">
        <f t="shared" si="25"/>
        <v>1746.0161090192485</v>
      </c>
      <c r="W44" s="94">
        <f t="shared" si="25"/>
        <v>241.49649021466152</v>
      </c>
      <c r="X44" s="94">
        <f t="shared" si="25"/>
        <v>7605.9091102978609</v>
      </c>
      <c r="Y44" s="160">
        <f t="shared" si="25"/>
        <v>853.08</v>
      </c>
      <c r="Z44" s="95">
        <f>SUM(X44:Y44)</f>
        <v>8458.9891102978618</v>
      </c>
    </row>
    <row r="45" spans="2:29">
      <c r="B45" s="199" t="s">
        <v>197</v>
      </c>
      <c r="C45" s="8"/>
      <c r="Q45" s="47"/>
    </row>
    <row r="46" spans="2:29">
      <c r="B46" s="200" t="s">
        <v>198</v>
      </c>
      <c r="C46" s="10"/>
      <c r="M46" t="s">
        <v>528</v>
      </c>
      <c r="P46" t="str">
        <f>P31</f>
        <v>P1</v>
      </c>
      <c r="Q46" t="str">
        <f t="shared" ref="Q46:W46" si="26">Q31</f>
        <v>P2</v>
      </c>
      <c r="R46" t="str">
        <f t="shared" si="26"/>
        <v>P3</v>
      </c>
      <c r="S46" t="str">
        <f t="shared" si="26"/>
        <v>P4</v>
      </c>
      <c r="T46" t="str">
        <f t="shared" si="26"/>
        <v>P5</v>
      </c>
      <c r="U46" t="str">
        <f t="shared" si="26"/>
        <v>P6</v>
      </c>
      <c r="V46" t="str">
        <f t="shared" si="26"/>
        <v>P7</v>
      </c>
      <c r="W46" t="str">
        <f t="shared" si="26"/>
        <v>P8</v>
      </c>
    </row>
    <row r="47" spans="2:29">
      <c r="B47" s="201" t="s">
        <v>196</v>
      </c>
      <c r="C47" s="202"/>
      <c r="L47" s="647">
        <f>M36/M39</f>
        <v>0.50010897039824753</v>
      </c>
      <c r="M47" s="186">
        <v>0.6</v>
      </c>
      <c r="N47" t="s">
        <v>149</v>
      </c>
      <c r="O47" s="43" t="s">
        <v>10</v>
      </c>
      <c r="P47" s="582">
        <v>1</v>
      </c>
      <c r="Q47" s="582">
        <f xml:space="preserve"> 0.14+0.28</f>
        <v>0.42000000000000004</v>
      </c>
      <c r="R47" s="582">
        <v>0.57894736842105299</v>
      </c>
      <c r="S47" s="345">
        <f>M47</f>
        <v>0.6</v>
      </c>
      <c r="T47" s="345">
        <f>M47</f>
        <v>0.6</v>
      </c>
      <c r="U47" s="345">
        <f>M47</f>
        <v>0.6</v>
      </c>
      <c r="V47" s="582">
        <v>0</v>
      </c>
      <c r="W47" s="345">
        <f>M47</f>
        <v>0.6</v>
      </c>
      <c r="X47" s="36" t="s">
        <v>99</v>
      </c>
      <c r="Y47" s="44">
        <f>SUM(P9:W15)</f>
        <v>7605.9091102978609</v>
      </c>
    </row>
    <row r="48" spans="2:29">
      <c r="B48" s="203" t="s">
        <v>178</v>
      </c>
      <c r="C48" s="204"/>
      <c r="L48" s="648">
        <f>M37/M39</f>
        <v>0.34298863487427211</v>
      </c>
      <c r="M48" s="186">
        <v>0.3</v>
      </c>
      <c r="N48" t="s">
        <v>115</v>
      </c>
      <c r="O48" s="43" t="s">
        <v>11</v>
      </c>
      <c r="P48" s="582">
        <v>0</v>
      </c>
      <c r="Q48" s="582">
        <f>(1-Q47)/3*2</f>
        <v>0.38666666666666666</v>
      </c>
      <c r="R48" s="582">
        <v>0.26315789473684198</v>
      </c>
      <c r="S48" s="345">
        <f t="shared" ref="S48:S49" si="27">M48</f>
        <v>0.3</v>
      </c>
      <c r="T48" s="345">
        <f t="shared" ref="T48:T49" si="28">M48</f>
        <v>0.3</v>
      </c>
      <c r="U48" s="345">
        <f t="shared" ref="U48:U49" si="29">M48</f>
        <v>0.3</v>
      </c>
      <c r="V48" s="582">
        <v>0</v>
      </c>
      <c r="W48" s="345">
        <f t="shared" ref="W48:W49" si="30">M48</f>
        <v>0.3</v>
      </c>
      <c r="X48" s="36" t="s">
        <v>95</v>
      </c>
      <c r="Y48" s="62">
        <f>X42-Y47</f>
        <v>1186.46</v>
      </c>
    </row>
    <row r="49" spans="2:26">
      <c r="B49" s="205" t="s">
        <v>179</v>
      </c>
      <c r="C49" s="206"/>
      <c r="L49" s="649">
        <f>M38/M39</f>
        <v>0.15690239472748033</v>
      </c>
      <c r="M49" s="186">
        <v>0.1</v>
      </c>
      <c r="N49" t="s">
        <v>148</v>
      </c>
      <c r="O49" s="43" t="s">
        <v>12</v>
      </c>
      <c r="P49" s="582">
        <v>0</v>
      </c>
      <c r="Q49" s="582">
        <f>(1-Q47)/3*1</f>
        <v>0.19333333333333333</v>
      </c>
      <c r="R49" s="582">
        <f>1-R47-R48</f>
        <v>0.15789473684210503</v>
      </c>
      <c r="S49" s="345">
        <f t="shared" si="27"/>
        <v>0.1</v>
      </c>
      <c r="T49" s="345">
        <f t="shared" si="28"/>
        <v>0.1</v>
      </c>
      <c r="U49" s="345">
        <f t="shared" si="29"/>
        <v>0.1</v>
      </c>
      <c r="V49" s="582">
        <v>0</v>
      </c>
      <c r="W49" s="345">
        <f t="shared" si="30"/>
        <v>0.1</v>
      </c>
      <c r="X49" t="s">
        <v>101</v>
      </c>
      <c r="Y49" s="62">
        <f>Y24</f>
        <v>853.07999999999993</v>
      </c>
    </row>
    <row r="50" spans="2:26">
      <c r="B50" s="9" t="s">
        <v>272</v>
      </c>
      <c r="C50" s="10"/>
      <c r="L50" s="57" t="s">
        <v>529</v>
      </c>
      <c r="P50" s="343">
        <f>SUM(P47:P49)</f>
        <v>1</v>
      </c>
      <c r="Q50" s="343">
        <f t="shared" ref="Q50:W50" si="31">SUM(Q47:Q49)</f>
        <v>1</v>
      </c>
      <c r="R50" s="343">
        <f t="shared" si="31"/>
        <v>1</v>
      </c>
      <c r="S50" s="343">
        <f t="shared" si="31"/>
        <v>0.99999999999999989</v>
      </c>
      <c r="T50" s="343">
        <f t="shared" si="31"/>
        <v>0.99999999999999989</v>
      </c>
      <c r="U50" s="343">
        <f t="shared" si="31"/>
        <v>0.99999999999999989</v>
      </c>
      <c r="V50" s="343">
        <f t="shared" si="31"/>
        <v>0</v>
      </c>
      <c r="W50" s="343">
        <f t="shared" si="31"/>
        <v>0.99999999999999989</v>
      </c>
      <c r="X50" t="s">
        <v>100</v>
      </c>
      <c r="Y50" s="44">
        <f>Y47+Y49</f>
        <v>8458.9891102978618</v>
      </c>
    </row>
    <row r="51" spans="2:26">
      <c r="B51" s="244" t="s">
        <v>275</v>
      </c>
      <c r="C51" s="10"/>
      <c r="L51" t="s">
        <v>530</v>
      </c>
      <c r="X51" t="s">
        <v>102</v>
      </c>
      <c r="Y51" s="50">
        <f>SUM(P25:W25)</f>
        <v>8792.369110297861</v>
      </c>
      <c r="Z51" s="45">
        <f>Y50+Y48-Y49</f>
        <v>8792.369110297861</v>
      </c>
    </row>
    <row r="52" spans="2:26" ht="16.2" thickBot="1">
      <c r="B52" s="245" t="s">
        <v>276</v>
      </c>
      <c r="C52" s="13"/>
      <c r="L52" t="s">
        <v>531</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F2516-E96D-4DAF-87DC-25A81D2A306F}">
  <dimension ref="A1:AA119"/>
  <sheetViews>
    <sheetView topLeftCell="M1" zoomScale="130" zoomScaleNormal="130" workbookViewId="0">
      <selection activeCell="R11" sqref="R11"/>
    </sheetView>
  </sheetViews>
  <sheetFormatPr defaultColWidth="8.69921875" defaultRowHeight="15.6"/>
  <cols>
    <col min="1" max="1" width="8" customWidth="1"/>
    <col min="2" max="2" width="25.3984375" customWidth="1"/>
    <col min="3" max="3" width="15.5" customWidth="1"/>
    <col min="4" max="4" width="16.5" customWidth="1"/>
    <col min="5" max="5" width="13.5" customWidth="1"/>
    <col min="6" max="6" width="11.19921875" customWidth="1"/>
    <col min="7" max="7" width="9" customWidth="1"/>
    <col min="9" max="9" width="9.19921875" customWidth="1"/>
    <col min="10" max="10" width="11" customWidth="1"/>
    <col min="11" max="11" width="23.5" customWidth="1"/>
    <col min="12" max="12" width="13.69921875" customWidth="1"/>
    <col min="13" max="13" width="20.19921875" customWidth="1"/>
    <col min="14" max="14" width="17.19921875" customWidth="1"/>
    <col min="15" max="16" width="18.69921875" customWidth="1"/>
    <col min="17" max="18" width="9.19921875" customWidth="1"/>
    <col min="19" max="19" width="24.19921875" customWidth="1"/>
    <col min="20" max="20" width="22.69921875" customWidth="1"/>
    <col min="21" max="21" width="13.69921875" customWidth="1"/>
    <col min="22" max="22" width="21" customWidth="1"/>
    <col min="23" max="23" width="14.19921875" customWidth="1"/>
    <col min="24" max="24" width="27.69921875" customWidth="1"/>
    <col min="25" max="25" width="10.5" customWidth="1"/>
    <col min="26" max="26" width="28.69921875" customWidth="1"/>
  </cols>
  <sheetData>
    <row r="1" spans="1:27" ht="16.2" thickBot="1">
      <c r="A1" t="s">
        <v>215</v>
      </c>
      <c r="B1" t="s">
        <v>404</v>
      </c>
      <c r="D1" t="s">
        <v>131</v>
      </c>
      <c r="F1" t="s">
        <v>216</v>
      </c>
      <c r="G1" t="s">
        <v>73</v>
      </c>
      <c r="H1" t="s">
        <v>190</v>
      </c>
      <c r="I1" t="s">
        <v>189</v>
      </c>
      <c r="J1" t="s">
        <v>203</v>
      </c>
      <c r="K1" t="s">
        <v>1</v>
      </c>
      <c r="L1" s="6" t="s">
        <v>107</v>
      </c>
      <c r="M1" s="7" t="s">
        <v>109</v>
      </c>
      <c r="N1" s="8" t="s">
        <v>108</v>
      </c>
      <c r="V1" s="57"/>
    </row>
    <row r="2" spans="1:27">
      <c r="A2" s="189">
        <v>0</v>
      </c>
      <c r="B2" t="s">
        <v>193</v>
      </c>
      <c r="C2" s="496">
        <f>C4*A2</f>
        <v>0</v>
      </c>
      <c r="D2" t="s">
        <v>127</v>
      </c>
      <c r="E2" s="106">
        <f>E5*F2</f>
        <v>385.41176470588238</v>
      </c>
      <c r="F2" s="189">
        <v>0.56000000000000005</v>
      </c>
      <c r="G2" s="97">
        <f>1000*H2/(2234*J2)</f>
        <v>0.94791721522986983</v>
      </c>
      <c r="H2" s="97">
        <f>54/102</f>
        <v>0.52941176470588236</v>
      </c>
      <c r="I2" s="97">
        <f>1/1.917</f>
        <v>0.52164840897235265</v>
      </c>
      <c r="J2" s="97">
        <f>1/4</f>
        <v>0.25</v>
      </c>
      <c r="L2" s="9" t="s">
        <v>261</v>
      </c>
      <c r="M2" s="505">
        <f>end_use!I10</f>
        <v>4384.3728918145307</v>
      </c>
      <c r="N2" s="10" t="s">
        <v>191</v>
      </c>
      <c r="Q2" t="s">
        <v>319</v>
      </c>
      <c r="R2" s="336">
        <f>W11</f>
        <v>6812.7419894677805</v>
      </c>
      <c r="S2" s="6" t="s">
        <v>321</v>
      </c>
      <c r="T2" s="342">
        <f>U12</f>
        <v>0.16573175150255115</v>
      </c>
      <c r="V2" s="26" t="s">
        <v>227</v>
      </c>
      <c r="W2" s="222">
        <f>R2*T2</f>
        <v>1129.0876624494701</v>
      </c>
      <c r="Y2" s="345">
        <f>W2/M2</f>
        <v>0.25752546380291624</v>
      </c>
      <c r="Z2" t="s">
        <v>327</v>
      </c>
      <c r="AA2" s="18" t="str">
        <f>CONCATENATE("[",TEXT(AA20,"0.000"), ", ", TEXT(AA32,"0.000"),"]")</f>
        <v>[0.000, 0.000]</v>
      </c>
    </row>
    <row r="3" spans="1:27">
      <c r="A3" s="190">
        <f>1-A2</f>
        <v>1</v>
      </c>
      <c r="B3" t="s">
        <v>405</v>
      </c>
      <c r="C3" s="83">
        <f>C4-C2</f>
        <v>726.05000000000007</v>
      </c>
      <c r="D3" t="s">
        <v>217</v>
      </c>
      <c r="E3" s="497">
        <f>E5-E2</f>
        <v>302.8235294117647</v>
      </c>
      <c r="H3">
        <f>1/H2</f>
        <v>1.8888888888888888</v>
      </c>
      <c r="I3">
        <f>1/I2</f>
        <v>1.917</v>
      </c>
      <c r="L3" s="9" t="s">
        <v>92</v>
      </c>
      <c r="M3" s="107">
        <f>M2-W2-W3</f>
        <v>1894.6815776343117</v>
      </c>
      <c r="N3" s="10" t="s">
        <v>103</v>
      </c>
      <c r="O3">
        <v>1850</v>
      </c>
      <c r="Q3" t="s">
        <v>320</v>
      </c>
      <c r="R3" s="336">
        <f>W23</f>
        <v>2100.5073743431089</v>
      </c>
      <c r="S3" s="9" t="s">
        <v>322</v>
      </c>
      <c r="T3" s="344">
        <f>U24</f>
        <v>0.64774999999999994</v>
      </c>
      <c r="V3" s="226" t="s">
        <v>228</v>
      </c>
      <c r="W3" s="223">
        <f>R3*T3</f>
        <v>1360.6036517307487</v>
      </c>
      <c r="AA3" t="str">
        <f>"lowerbound: " &amp; TEXT(AA17,"0")</f>
        <v>lowerbound: 0</v>
      </c>
    </row>
    <row r="4" spans="1:27">
      <c r="B4" s="195" t="s">
        <v>153</v>
      </c>
      <c r="C4" s="493">
        <f>E5/G2</f>
        <v>726.05000000000007</v>
      </c>
      <c r="D4" s="195" t="s">
        <v>132</v>
      </c>
      <c r="E4" s="493">
        <f>C4*(1-G2)</f>
        <v>37.814705882353017</v>
      </c>
      <c r="L4" s="9" t="s">
        <v>91</v>
      </c>
      <c r="M4" s="107">
        <f>W13+W25</f>
        <v>1369.2420715382623</v>
      </c>
      <c r="N4" s="10" t="s">
        <v>417</v>
      </c>
      <c r="O4">
        <v>542</v>
      </c>
      <c r="S4" s="9" t="s">
        <v>419</v>
      </c>
      <c r="T4" s="503">
        <f>M5/M2</f>
        <v>0.56785574028805452</v>
      </c>
      <c r="U4" s="18">
        <f>0.717</f>
        <v>0.71699999999999997</v>
      </c>
      <c r="V4" s="226" t="s">
        <v>229</v>
      </c>
      <c r="W4" s="223">
        <f>W13</f>
        <v>1091.8432988011664</v>
      </c>
      <c r="AA4" t="str">
        <f>"lowerbound: " &amp; TEXT(AA29,"0")</f>
        <v>lowerbound: 0</v>
      </c>
    </row>
    <row r="5" spans="1:27" ht="16.2" thickBot="1">
      <c r="D5" t="s">
        <v>571</v>
      </c>
      <c r="E5" s="108">
        <f>1300*H2</f>
        <v>688.23529411764707</v>
      </c>
      <c r="L5" s="9" t="s">
        <v>627</v>
      </c>
      <c r="M5" s="83">
        <f>M2-M3</f>
        <v>2489.6913141802188</v>
      </c>
      <c r="N5" s="10" t="s">
        <v>192</v>
      </c>
      <c r="S5" s="11" t="s">
        <v>418</v>
      </c>
      <c r="T5" s="504">
        <f>M3/M2</f>
        <v>0.43214425971194542</v>
      </c>
      <c r="U5" s="18">
        <f>1-U4</f>
        <v>0.28300000000000003</v>
      </c>
      <c r="V5" s="226" t="s">
        <v>230</v>
      </c>
      <c r="W5" s="223">
        <f>W25</f>
        <v>277.39877273709584</v>
      </c>
    </row>
    <row r="6" spans="1:27" ht="16.2" thickBot="1">
      <c r="L6" s="11" t="s">
        <v>626</v>
      </c>
      <c r="M6" s="240">
        <f>M5+M4</f>
        <v>3858.9333857184811</v>
      </c>
      <c r="N6" s="13" t="s">
        <v>625</v>
      </c>
      <c r="S6" t="s">
        <v>630</v>
      </c>
      <c r="T6" s="503">
        <f>Q8/M7</f>
        <v>0.43986849971506453</v>
      </c>
      <c r="V6" s="226"/>
      <c r="W6" s="241"/>
    </row>
    <row r="7" spans="1:27">
      <c r="A7" t="s">
        <v>2</v>
      </c>
      <c r="B7" t="s">
        <v>106</v>
      </c>
      <c r="D7" t="s">
        <v>131</v>
      </c>
      <c r="F7" t="s">
        <v>125</v>
      </c>
      <c r="G7" s="157" t="s">
        <v>378</v>
      </c>
      <c r="H7" t="s">
        <v>128</v>
      </c>
      <c r="I7" t="s">
        <v>129</v>
      </c>
      <c r="J7" t="s">
        <v>73</v>
      </c>
      <c r="L7" t="s">
        <v>259</v>
      </c>
      <c r="M7" s="83">
        <f>end_use!H10</f>
        <v>5660.0809464487138</v>
      </c>
      <c r="S7" t="s">
        <v>631</v>
      </c>
      <c r="T7" s="483">
        <v>0.24550097500000001</v>
      </c>
      <c r="V7" s="226" t="s">
        <v>325</v>
      </c>
      <c r="W7" s="242">
        <f>W2+W4</f>
        <v>2220.9309612506368</v>
      </c>
    </row>
    <row r="8" spans="1:27">
      <c r="B8" t="s">
        <v>195</v>
      </c>
      <c r="C8" s="106">
        <f>E2</f>
        <v>385.41176470588238</v>
      </c>
      <c r="D8" t="s">
        <v>126</v>
      </c>
      <c r="E8" s="108">
        <v>1010</v>
      </c>
      <c r="F8" s="106">
        <f>L19</f>
        <v>715.8065484083844</v>
      </c>
      <c r="G8" s="107">
        <f>L28</f>
        <v>231.48744370607545</v>
      </c>
      <c r="H8" s="106">
        <f>(E8-F8-G8)*H9</f>
        <v>31.353003942770073</v>
      </c>
      <c r="I8" s="106">
        <f>E8-F8-G8-H8</f>
        <v>31.353003942770073</v>
      </c>
      <c r="J8" s="92">
        <f>I2/H2</f>
        <v>0.98533588361444391</v>
      </c>
      <c r="L8" t="s">
        <v>298</v>
      </c>
      <c r="M8" s="83">
        <f>J17+J26</f>
        <v>9634.2051125100716</v>
      </c>
      <c r="N8" t="s">
        <v>633</v>
      </c>
      <c r="O8" s="83">
        <f>M8*T7</f>
        <v>2365.2067484712074</v>
      </c>
      <c r="P8" t="s">
        <v>632</v>
      </c>
      <c r="Q8" s="107">
        <f>O8/O19</f>
        <v>2489.6913141802183</v>
      </c>
      <c r="V8" s="228" t="s">
        <v>326</v>
      </c>
      <c r="W8" s="243">
        <f>W3+W5</f>
        <v>1638.0024244678445</v>
      </c>
    </row>
    <row r="9" spans="1:27">
      <c r="B9" s="195" t="s">
        <v>406</v>
      </c>
      <c r="C9" s="495">
        <f>C10-C8</f>
        <v>639.61941176470577</v>
      </c>
      <c r="D9" s="195" t="s">
        <v>132</v>
      </c>
      <c r="E9" s="494">
        <f>E10-E8</f>
        <v>15.031176470588207</v>
      </c>
      <c r="H9" s="49">
        <v>0.5</v>
      </c>
      <c r="I9">
        <f>1-H9</f>
        <v>0.5</v>
      </c>
      <c r="N9" t="s">
        <v>628</v>
      </c>
      <c r="O9" s="83">
        <f>N26*U24</f>
        <v>1292.573469144211</v>
      </c>
      <c r="T9" s="55" t="s">
        <v>386</v>
      </c>
      <c r="X9" s="45"/>
    </row>
    <row r="10" spans="1:27" ht="16.2" thickBot="1">
      <c r="B10" t="s">
        <v>403</v>
      </c>
      <c r="C10" s="105">
        <f>E10</f>
        <v>1025.0311764705882</v>
      </c>
      <c r="D10" t="s">
        <v>403</v>
      </c>
      <c r="E10" s="105">
        <f>E8/J8</f>
        <v>1025.0311764705882</v>
      </c>
      <c r="N10" t="s">
        <v>629</v>
      </c>
      <c r="O10" s="107">
        <f>O8-O9</f>
        <v>1072.6332793269964</v>
      </c>
      <c r="T10" t="s">
        <v>387</v>
      </c>
      <c r="U10" s="193" t="str">
        <f xml:space="preserve"> "[" &amp; TEXT(W12/W11,"0.0%") &amp; ", " &amp; TEXT(1-U13,"0.0%") &amp; "]"</f>
        <v>[46.6%, 79.2%]</v>
      </c>
    </row>
    <row r="11" spans="1:27">
      <c r="O11" s="18"/>
      <c r="S11" t="s">
        <v>262</v>
      </c>
      <c r="T11" s="6" t="s">
        <v>634</v>
      </c>
      <c r="U11" s="342">
        <f>1-U13-U12</f>
        <v>0.62627122258405277</v>
      </c>
      <c r="V11" t="s">
        <v>323</v>
      </c>
      <c r="W11" s="336">
        <f>P17/U13</f>
        <v>6812.7419894677805</v>
      </c>
      <c r="Y11" s="339"/>
    </row>
    <row r="12" spans="1:27">
      <c r="A12" t="s">
        <v>5</v>
      </c>
      <c r="B12" t="s">
        <v>297</v>
      </c>
      <c r="C12" t="s">
        <v>218</v>
      </c>
      <c r="D12" t="s">
        <v>225</v>
      </c>
      <c r="E12" t="s">
        <v>168</v>
      </c>
      <c r="F12" s="57" t="s">
        <v>181</v>
      </c>
      <c r="G12" t="s">
        <v>91</v>
      </c>
      <c r="H12" t="s">
        <v>92</v>
      </c>
      <c r="I12" t="s">
        <v>364</v>
      </c>
      <c r="J12" t="s">
        <v>298</v>
      </c>
      <c r="L12" t="s">
        <v>520</v>
      </c>
      <c r="M12" s="57" t="s">
        <v>219</v>
      </c>
      <c r="N12" t="s">
        <v>397</v>
      </c>
      <c r="O12" s="56" t="s">
        <v>365</v>
      </c>
      <c r="P12" t="s">
        <v>180</v>
      </c>
      <c r="S12" t="s">
        <v>263</v>
      </c>
      <c r="T12" s="9" t="s">
        <v>635</v>
      </c>
      <c r="U12" s="803">
        <f>O10/N17</f>
        <v>0.16573175150255115</v>
      </c>
      <c r="V12" t="s">
        <v>183</v>
      </c>
      <c r="W12" s="334">
        <f>SUM(Raw!E9:E23)</f>
        <v>3174.7809560925325</v>
      </c>
      <c r="Y12" s="338"/>
    </row>
    <row r="13" spans="1:27" ht="16.2" thickBot="1">
      <c r="B13" s="26" t="s">
        <v>169</v>
      </c>
      <c r="C13" s="207">
        <f>Raw!AE9</f>
        <v>4025.3284667574076</v>
      </c>
      <c r="D13" s="207">
        <f>Raw!AC9</f>
        <v>5688.0630606452178</v>
      </c>
      <c r="E13" s="230">
        <f>D13*F13</f>
        <v>4834.8536015484351</v>
      </c>
      <c r="F13" s="452">
        <v>0.85</v>
      </c>
      <c r="G13" s="210">
        <f>D13-E13</f>
        <v>853.20945909678267</v>
      </c>
      <c r="H13" s="233">
        <f>E13*I13</f>
        <v>61.046131332682258</v>
      </c>
      <c r="I13" s="234">
        <f>1/(100-19.8-1)</f>
        <v>1.2626262626262626E-2</v>
      </c>
      <c r="J13" s="225">
        <f>E13+H13</f>
        <v>4895.8997328811174</v>
      </c>
      <c r="L13" s="211">
        <f>J13*M13</f>
        <v>400.38668015501776</v>
      </c>
      <c r="M13" s="439">
        <f>28.2%*0.29</f>
        <v>8.1779999999999992E-2</v>
      </c>
      <c r="N13" s="211">
        <f>J13-L13</f>
        <v>4495.5130527260999</v>
      </c>
      <c r="O13" s="347">
        <f>0.2052</f>
        <v>0.20519999999999999</v>
      </c>
      <c r="P13" s="222">
        <f>J13*O13</f>
        <v>1004.6386251872052</v>
      </c>
      <c r="T13" s="11" t="s">
        <v>636</v>
      </c>
      <c r="U13" s="482">
        <f>O18*O19</f>
        <v>0.20799702591339608</v>
      </c>
      <c r="V13" s="195" t="s">
        <v>317</v>
      </c>
      <c r="W13" s="175">
        <f>W14-W12</f>
        <v>1091.8432988011664</v>
      </c>
    </row>
    <row r="14" spans="1:27">
      <c r="B14" s="226" t="s">
        <v>170</v>
      </c>
      <c r="C14" s="109">
        <f>Raw!AE10</f>
        <v>1769.7134979452012</v>
      </c>
      <c r="D14" s="109">
        <f>Raw!AC10</f>
        <v>2396.1999836777486</v>
      </c>
      <c r="E14" s="231">
        <f>D14*F14</f>
        <v>1916.9599869421991</v>
      </c>
      <c r="F14" s="453">
        <f>(100-19.8-1)/99</f>
        <v>0.8</v>
      </c>
      <c r="G14" s="44">
        <f>D14-E14</f>
        <v>479.23999673554954</v>
      </c>
      <c r="H14" s="235">
        <f>E14*I14</f>
        <v>24.204040239169181</v>
      </c>
      <c r="I14" s="236">
        <f>1/(100-19.8-1)</f>
        <v>1.2626262626262626E-2</v>
      </c>
      <c r="J14" s="227">
        <f>E14+H14</f>
        <v>1941.1640271813683</v>
      </c>
      <c r="L14" s="212">
        <f>J14*M14</f>
        <v>379.89952552160611</v>
      </c>
      <c r="M14" s="440">
        <f>15.5/(15.5+63.7)</f>
        <v>0.19570707070707069</v>
      </c>
      <c r="N14" s="212">
        <f>J14-L14</f>
        <v>1561.2645016597621</v>
      </c>
      <c r="O14" s="348">
        <f>0.3635-M14</f>
        <v>0.1677929292929293</v>
      </c>
      <c r="P14" s="223">
        <f>J14*O14</f>
        <v>325.71359835882123</v>
      </c>
      <c r="V14" s="340" t="s">
        <v>318</v>
      </c>
      <c r="W14" s="335">
        <f>W11*U11</f>
        <v>4266.6242548936989</v>
      </c>
      <c r="X14" s="338"/>
    </row>
    <row r="15" spans="1:27">
      <c r="B15" s="226" t="s">
        <v>171</v>
      </c>
      <c r="C15" s="109">
        <f>Raw!AE11</f>
        <v>349.34728779232398</v>
      </c>
      <c r="D15" s="109">
        <f>Raw!AC11</f>
        <v>473.01778862950914</v>
      </c>
      <c r="E15" s="231">
        <f>D15*F15</f>
        <v>378.41423090360735</v>
      </c>
      <c r="F15" s="454">
        <f>F14</f>
        <v>0.8</v>
      </c>
      <c r="G15" s="44">
        <f>D15-E15</f>
        <v>94.603557725901794</v>
      </c>
      <c r="H15" s="235">
        <f>E15*I15</f>
        <v>4.7779574609041333</v>
      </c>
      <c r="I15" s="236">
        <f>1/(100-19.8-1)</f>
        <v>1.2626262626262626E-2</v>
      </c>
      <c r="J15" s="227">
        <f>E15+H15</f>
        <v>383.19218836451148</v>
      </c>
      <c r="L15" s="212">
        <f>J15*M15</f>
        <v>75.105668919444255</v>
      </c>
      <c r="M15" s="440">
        <v>0.19600000000000001</v>
      </c>
      <c r="N15" s="212">
        <f>J15-L15</f>
        <v>308.08651944506721</v>
      </c>
      <c r="O15" s="214">
        <f>O14</f>
        <v>0.1677929292929293</v>
      </c>
      <c r="P15" s="223">
        <f>J15*O15</f>
        <v>64.296939767849324</v>
      </c>
      <c r="V15" s="57" t="s">
        <v>184</v>
      </c>
      <c r="W15" s="336">
        <f>W2</f>
        <v>1129.0876624494701</v>
      </c>
      <c r="AA15" s="221"/>
    </row>
    <row r="16" spans="1:27">
      <c r="B16" s="228" t="s">
        <v>172</v>
      </c>
      <c r="C16" s="208">
        <f>Raw!AE12</f>
        <v>131.72095631794411</v>
      </c>
      <c r="D16" s="208">
        <f>Raw!AC12</f>
        <v>164.65119539743014</v>
      </c>
      <c r="E16" s="232">
        <f>D16*F16</f>
        <v>131.72095631794411</v>
      </c>
      <c r="F16" s="455">
        <f>F14</f>
        <v>0.8</v>
      </c>
      <c r="G16" s="209">
        <f>D16-E16</f>
        <v>32.930239079486029</v>
      </c>
      <c r="H16" s="237">
        <f>E16*I16</f>
        <v>1.6631433878528297</v>
      </c>
      <c r="I16" s="238">
        <f>1/(100-19.8-1)</f>
        <v>1.2626262626262626E-2</v>
      </c>
      <c r="J16" s="229">
        <f>E16+H16</f>
        <v>133.38409970579696</v>
      </c>
      <c r="L16" s="213">
        <f>J16*M16</f>
        <v>26.143283542336203</v>
      </c>
      <c r="M16" s="441">
        <v>0.19600000000000001</v>
      </c>
      <c r="N16" s="213">
        <f>J16-L16</f>
        <v>107.24081616346075</v>
      </c>
      <c r="O16" s="215">
        <f>O14</f>
        <v>0.1677929292929293</v>
      </c>
      <c r="P16" s="224">
        <f>J16*O16</f>
        <v>22.380908810735821</v>
      </c>
      <c r="V16" s="57" t="s">
        <v>185</v>
      </c>
      <c r="W16" s="216">
        <f>H8</f>
        <v>31.353003942770073</v>
      </c>
      <c r="X16" t="s">
        <v>266</v>
      </c>
      <c r="Y16" s="216">
        <f>W14+W15</f>
        <v>5395.7119173431693</v>
      </c>
      <c r="AA16" s="221"/>
    </row>
    <row r="17" spans="1:27" ht="16.2" thickBot="1">
      <c r="D17" s="45">
        <f>SUM(D13:D16)</f>
        <v>8721.9320283499055</v>
      </c>
      <c r="E17" s="45">
        <f>SUM(E13:E16)</f>
        <v>7261.9487757121851</v>
      </c>
      <c r="G17" s="45">
        <f>SUM(G13:G16)</f>
        <v>1459.9832526377199</v>
      </c>
      <c r="H17" s="45">
        <f>SUM(H13:H16)</f>
        <v>91.691272420608399</v>
      </c>
      <c r="I17" s="45"/>
      <c r="J17" s="56">
        <f>SUM(J13:J16)</f>
        <v>7353.6400481327946</v>
      </c>
      <c r="L17" s="56">
        <f>SUM(L13:L16)</f>
        <v>881.53515813840443</v>
      </c>
      <c r="N17" s="56">
        <f>SUM(N13:N16)</f>
        <v>6472.1048899943908</v>
      </c>
      <c r="O17" s="18">
        <f>P17/J17</f>
        <v>0.19269777455104262</v>
      </c>
      <c r="P17" s="337">
        <f>SUM(P13:P16)</f>
        <v>1417.0300721246115</v>
      </c>
      <c r="Q17" s="343"/>
      <c r="V17" s="185" t="s">
        <v>105</v>
      </c>
      <c r="W17" s="341">
        <f>P17-H8</f>
        <v>1385.6770681818414</v>
      </c>
      <c r="X17" s="195" t="s">
        <v>267</v>
      </c>
      <c r="Y17" s="218">
        <f>W16+W17</f>
        <v>1417.0300721246115</v>
      </c>
      <c r="AA17" s="221"/>
    </row>
    <row r="18" spans="1:27" ht="16.2" thickBot="1">
      <c r="K18" t="s">
        <v>375</v>
      </c>
      <c r="L18" s="629">
        <v>0.81200000000000006</v>
      </c>
      <c r="M18" s="193">
        <f>E8/(L17+L26)</f>
        <v>0.86575023891939373</v>
      </c>
      <c r="O18" s="92">
        <f>P17/N17</f>
        <v>0.21894423780357483</v>
      </c>
      <c r="P18" t="s">
        <v>399</v>
      </c>
      <c r="V18" s="176" t="s">
        <v>188</v>
      </c>
      <c r="W18" s="217">
        <f>SUM(W14:W17)</f>
        <v>6812.7419894677805</v>
      </c>
      <c r="X18" s="176" t="s">
        <v>231</v>
      </c>
      <c r="Y18" s="196">
        <f>Y17/W18</f>
        <v>0.20799702591339608</v>
      </c>
      <c r="Z18" t="s">
        <v>268</v>
      </c>
      <c r="AA18" s="194">
        <f>Y16/W18</f>
        <v>0.79200297408660392</v>
      </c>
    </row>
    <row r="19" spans="1:27">
      <c r="K19" t="s">
        <v>377</v>
      </c>
      <c r="L19" s="107">
        <f>L17*L18</f>
        <v>715.8065484083844</v>
      </c>
      <c r="M19" s="45" t="b">
        <f>(L19&lt;E8)</f>
        <v>1</v>
      </c>
      <c r="O19" s="483">
        <v>0.95</v>
      </c>
      <c r="P19" t="s">
        <v>385</v>
      </c>
      <c r="V19" s="155" t="s">
        <v>182</v>
      </c>
      <c r="W19" s="218">
        <f>N17</f>
        <v>6472.1048899943908</v>
      </c>
      <c r="X19" s="195" t="s">
        <v>232</v>
      </c>
      <c r="Y19" s="197">
        <f>Y17/W19</f>
        <v>0.21894423780357483</v>
      </c>
      <c r="Z19" t="s">
        <v>269</v>
      </c>
      <c r="AA19" s="18">
        <f>1-Y19</f>
        <v>0.78105576219642514</v>
      </c>
    </row>
    <row r="20" spans="1:27">
      <c r="K20" t="s">
        <v>376</v>
      </c>
      <c r="L20" s="107">
        <f>L17-L19</f>
        <v>165.72860973002003</v>
      </c>
      <c r="V20" s="57" t="s">
        <v>132</v>
      </c>
      <c r="W20" s="219">
        <f>W18-W19</f>
        <v>340.63709947338975</v>
      </c>
      <c r="X20" t="s">
        <v>94</v>
      </c>
      <c r="Y20" s="184">
        <f>W19/W18</f>
        <v>0.94999999999999984</v>
      </c>
      <c r="AA20" s="18"/>
    </row>
    <row r="21" spans="1:27">
      <c r="F21" s="45"/>
      <c r="T21" s="55" t="str">
        <f>T9</f>
        <v>Adjust X1 to make align import scrap, export scrap, and scrap recycling rate with reference</v>
      </c>
      <c r="W21" s="220"/>
    </row>
    <row r="22" spans="1:27" ht="16.2" thickBot="1">
      <c r="A22" t="s">
        <v>6</v>
      </c>
      <c r="B22" t="s">
        <v>173</v>
      </c>
      <c r="C22" t="s">
        <v>218</v>
      </c>
      <c r="D22" t="s">
        <v>225</v>
      </c>
      <c r="E22" t="s">
        <v>168</v>
      </c>
      <c r="F22" s="57" t="s">
        <v>194</v>
      </c>
      <c r="G22" t="s">
        <v>91</v>
      </c>
      <c r="H22" t="s">
        <v>92</v>
      </c>
      <c r="I22" t="s">
        <v>364</v>
      </c>
      <c r="J22" t="s">
        <v>298</v>
      </c>
      <c r="L22" t="s">
        <v>519</v>
      </c>
      <c r="M22" s="57" t="s">
        <v>177</v>
      </c>
      <c r="N22" t="s">
        <v>398</v>
      </c>
      <c r="O22" s="56" t="s">
        <v>365</v>
      </c>
      <c r="P22" t="s">
        <v>180</v>
      </c>
      <c r="T22" t="s">
        <v>387</v>
      </c>
      <c r="U22" s="193" t="str">
        <f xml:space="preserve"> "[" &amp; TEXT(W24/W23,"0.0%") &amp; ", " &amp; TEXT(1-U25,"0.0%") &amp; "]"</f>
        <v>[16.8%, 94.8%]</v>
      </c>
      <c r="W22" s="220"/>
      <c r="Y22" s="45"/>
      <c r="Z22" s="18"/>
    </row>
    <row r="23" spans="1:27">
      <c r="B23" s="26" t="s">
        <v>174</v>
      </c>
      <c r="C23" s="207">
        <f>Raw!AE13</f>
        <v>1091.6773199257132</v>
      </c>
      <c r="D23" s="207">
        <f>Raw!AC13</f>
        <v>1140.9098265105984</v>
      </c>
      <c r="E23" s="230">
        <f>D23*F23</f>
        <v>1083.8643351850683</v>
      </c>
      <c r="F23" s="452">
        <v>0.95</v>
      </c>
      <c r="G23" s="177">
        <f>D23-E23</f>
        <v>57.045491325530065</v>
      </c>
      <c r="H23" s="211">
        <f>(205-$H$17)*I23</f>
        <v>56.66671108686505</v>
      </c>
      <c r="I23" s="650">
        <f>Raw!L47</f>
        <v>0.50010897039824753</v>
      </c>
      <c r="J23" s="222">
        <f>E23+H23</f>
        <v>1140.5310462719333</v>
      </c>
      <c r="L23" s="211">
        <f>J23*M23</f>
        <v>171.07965694078999</v>
      </c>
      <c r="M23" s="442">
        <f>0.15</f>
        <v>0.15</v>
      </c>
      <c r="N23" s="177">
        <f>J23-L23</f>
        <v>969.45138933114333</v>
      </c>
      <c r="O23" s="490">
        <f>0.055*(1-M23)</f>
        <v>4.675E-2</v>
      </c>
      <c r="P23" s="222">
        <f>J23*O23</f>
        <v>53.31982641321288</v>
      </c>
      <c r="S23" t="s">
        <v>264</v>
      </c>
      <c r="T23" s="6" t="s">
        <v>420</v>
      </c>
      <c r="U23" s="346">
        <v>0.3</v>
      </c>
      <c r="V23" t="s">
        <v>324</v>
      </c>
      <c r="W23" s="336">
        <f>P26/U25</f>
        <v>2100.5073743431089</v>
      </c>
      <c r="Z23" s="18"/>
    </row>
    <row r="24" spans="1:27">
      <c r="B24" s="226" t="s">
        <v>175</v>
      </c>
      <c r="C24" s="109">
        <f>Raw!AE14</f>
        <v>748.70265451618548</v>
      </c>
      <c r="D24" s="109">
        <f>Raw!AC14</f>
        <v>782.46767619044488</v>
      </c>
      <c r="E24" s="231">
        <f>D24*F24</f>
        <v>743.34429238092264</v>
      </c>
      <c r="F24" s="454">
        <v>0.95</v>
      </c>
      <c r="G24" s="83">
        <f>D24-E24</f>
        <v>39.123383809522238</v>
      </c>
      <c r="H24" s="212">
        <f>(205-$H$17)*I24</f>
        <v>38.86360579179631</v>
      </c>
      <c r="I24" s="651">
        <f>Raw!L48</f>
        <v>0.34298863487427211</v>
      </c>
      <c r="J24" s="223">
        <f>E24+H24</f>
        <v>782.20789817271896</v>
      </c>
      <c r="L24" s="212">
        <f>J24*M24</f>
        <v>78.220789817271893</v>
      </c>
      <c r="M24" s="443">
        <f>M23-0.05</f>
        <v>9.9999999999999992E-2</v>
      </c>
      <c r="N24" s="83">
        <f>J24-L24</f>
        <v>703.98710835544705</v>
      </c>
      <c r="O24" s="491">
        <f>0.055*(1-M24)</f>
        <v>4.9500000000000002E-2</v>
      </c>
      <c r="P24" s="223">
        <f>J24*O24</f>
        <v>38.719290959549589</v>
      </c>
      <c r="S24" t="s">
        <v>265</v>
      </c>
      <c r="T24" s="9" t="s">
        <v>421</v>
      </c>
      <c r="U24" s="344">
        <f>1-U23-U25</f>
        <v>0.64774999999999994</v>
      </c>
      <c r="V24" t="s">
        <v>183</v>
      </c>
      <c r="W24" s="334">
        <f>SUM(Raw!F9:F23)</f>
        <v>352.7534395658368</v>
      </c>
      <c r="Z24" s="18"/>
    </row>
    <row r="25" spans="1:27" ht="16.2" thickBot="1">
      <c r="B25" s="228" t="s">
        <v>176</v>
      </c>
      <c r="C25" s="208">
        <f>Raw!AE15</f>
        <v>342.49892704308564</v>
      </c>
      <c r="D25" s="208">
        <f>Raw!AC15</f>
        <v>357.94495708620519</v>
      </c>
      <c r="E25" s="232">
        <f>D25*F25</f>
        <v>340.04770923189494</v>
      </c>
      <c r="F25" s="455">
        <v>0.95</v>
      </c>
      <c r="G25" s="175">
        <f>D25-E25</f>
        <v>17.897247854310251</v>
      </c>
      <c r="H25" s="213">
        <f>(205-$H$17)*I25</f>
        <v>17.778410700730237</v>
      </c>
      <c r="I25" s="652">
        <f>Raw!L49</f>
        <v>0.15690239472748033</v>
      </c>
      <c r="J25" s="224">
        <f>E25+H25</f>
        <v>357.8261199326252</v>
      </c>
      <c r="L25" s="213">
        <f>J25*M25</f>
        <v>35.78261199326252</v>
      </c>
      <c r="M25" s="444">
        <f>M24</f>
        <v>9.9999999999999992E-2</v>
      </c>
      <c r="N25" s="175">
        <f>J25-L25</f>
        <v>322.04350793936271</v>
      </c>
      <c r="O25" s="492">
        <f>0.055*(1-M25)</f>
        <v>4.9500000000000002E-2</v>
      </c>
      <c r="P25" s="224">
        <f>J25*O25</f>
        <v>17.712392936664948</v>
      </c>
      <c r="T25" s="11" t="s">
        <v>422</v>
      </c>
      <c r="U25" s="482">
        <f>O27*O28</f>
        <v>5.2249999999999984E-2</v>
      </c>
      <c r="V25" s="195" t="s">
        <v>317</v>
      </c>
      <c r="W25" s="218">
        <f>W26-W24</f>
        <v>277.39877273709584</v>
      </c>
    </row>
    <row r="26" spans="1:27">
      <c r="D26" s="45">
        <f>SUM(D23:D25)</f>
        <v>2281.3224597872486</v>
      </c>
      <c r="E26" s="45">
        <f>SUM(E23:E25)</f>
        <v>2167.2563367978855</v>
      </c>
      <c r="G26" s="45">
        <f>SUM(G23:G25)</f>
        <v>114.06612298936255</v>
      </c>
      <c r="H26" s="45">
        <f>SUM(H23:H25)</f>
        <v>113.30872757939159</v>
      </c>
      <c r="J26" s="56">
        <f>SUM(J23:J25)</f>
        <v>2280.5650643772774</v>
      </c>
      <c r="L26" s="56">
        <f>SUM(L23:L25)</f>
        <v>285.08305875132442</v>
      </c>
      <c r="N26" s="56">
        <f>SUM(N23:N25)</f>
        <v>1995.4820056259532</v>
      </c>
      <c r="O26" s="18">
        <f>P26/J26</f>
        <v>4.8124700331404813E-2</v>
      </c>
      <c r="P26" s="337">
        <f>SUM(P23:P25)</f>
        <v>109.7515103094274</v>
      </c>
      <c r="V26" s="57" t="s">
        <v>318</v>
      </c>
      <c r="W26" s="216">
        <f>W23*U23</f>
        <v>630.15221230293264</v>
      </c>
    </row>
    <row r="27" spans="1:27" ht="16.2" thickBot="1">
      <c r="K27" t="s">
        <v>375</v>
      </c>
      <c r="L27" s="345">
        <f>L18</f>
        <v>0.81200000000000006</v>
      </c>
      <c r="O27" s="92">
        <f>P26/N26</f>
        <v>5.4999999999999986E-2</v>
      </c>
      <c r="P27" t="s">
        <v>400</v>
      </c>
      <c r="V27" s="57" t="s">
        <v>184</v>
      </c>
      <c r="W27" s="216">
        <f>W3</f>
        <v>1360.6036517307487</v>
      </c>
      <c r="AA27" s="221"/>
    </row>
    <row r="28" spans="1:27">
      <c r="F28" s="6"/>
      <c r="G28" s="7" t="s">
        <v>91</v>
      </c>
      <c r="H28" s="7" t="s">
        <v>92</v>
      </c>
      <c r="I28" s="7" t="s">
        <v>274</v>
      </c>
      <c r="J28" s="8" t="s">
        <v>273</v>
      </c>
      <c r="K28" t="s">
        <v>377</v>
      </c>
      <c r="L28" s="107">
        <f>L26*L27</f>
        <v>231.48744370607545</v>
      </c>
      <c r="N28" s="18"/>
      <c r="O28" s="483">
        <v>0.95</v>
      </c>
      <c r="P28" s="45" t="s">
        <v>384</v>
      </c>
      <c r="V28" s="57" t="s">
        <v>185</v>
      </c>
      <c r="W28" s="216">
        <f>I8</f>
        <v>31.353003942770073</v>
      </c>
      <c r="X28" t="s">
        <v>266</v>
      </c>
      <c r="Y28" s="216">
        <f>W26+W27</f>
        <v>1990.7558640336813</v>
      </c>
      <c r="AA28" s="221"/>
    </row>
    <row r="29" spans="1:27" ht="16.2" thickBot="1">
      <c r="F29" s="11" t="s">
        <v>271</v>
      </c>
      <c r="G29" s="239">
        <f>G17+G26</f>
        <v>1574.0493756270826</v>
      </c>
      <c r="H29" s="239">
        <f>H17+H26</f>
        <v>205</v>
      </c>
      <c r="I29" s="239">
        <f>D17+D26</f>
        <v>11003.254488137154</v>
      </c>
      <c r="J29" s="139">
        <f>J17+J26</f>
        <v>9634.2051125100716</v>
      </c>
      <c r="K29" t="s">
        <v>376</v>
      </c>
      <c r="L29" s="107">
        <f>L26-L28</f>
        <v>53.595615045248962</v>
      </c>
      <c r="V29" s="185" t="s">
        <v>105</v>
      </c>
      <c r="W29" s="341">
        <f>P26-I8</f>
        <v>78.39850636665733</v>
      </c>
      <c r="X29" s="195" t="s">
        <v>267</v>
      </c>
      <c r="Y29" s="218">
        <f>W28+W29</f>
        <v>109.7515103094274</v>
      </c>
      <c r="AA29" s="221"/>
    </row>
    <row r="30" spans="1:27" ht="16.2" thickBot="1">
      <c r="I30" s="45"/>
      <c r="V30" s="176" t="s">
        <v>188</v>
      </c>
      <c r="W30" s="217">
        <f>SUM(W26:W29)</f>
        <v>2100.5073743431085</v>
      </c>
      <c r="X30" s="176" t="s">
        <v>231</v>
      </c>
      <c r="Y30" s="196">
        <f>Y29/W30</f>
        <v>5.2249999999999991E-2</v>
      </c>
      <c r="Z30" t="s">
        <v>268</v>
      </c>
      <c r="AA30" s="194">
        <f>Y28/W30</f>
        <v>0.94775000000000009</v>
      </c>
    </row>
    <row r="31" spans="1:27">
      <c r="A31" s="45">
        <f>E17+E26</f>
        <v>9429.2051125100697</v>
      </c>
      <c r="C31" t="s">
        <v>207</v>
      </c>
      <c r="D31" t="s">
        <v>208</v>
      </c>
      <c r="V31" s="155" t="s">
        <v>182</v>
      </c>
      <c r="W31" s="218">
        <f>N26</f>
        <v>1995.4820056259532</v>
      </c>
      <c r="X31" s="195" t="s">
        <v>232</v>
      </c>
      <c r="Y31" s="197">
        <f>Y29/W31</f>
        <v>5.4999999999999986E-2</v>
      </c>
      <c r="Z31" t="s">
        <v>269</v>
      </c>
      <c r="AA31" s="18">
        <f>1-Y31</f>
        <v>0.94500000000000006</v>
      </c>
    </row>
    <row r="32" spans="1:27">
      <c r="B32" t="s">
        <v>224</v>
      </c>
      <c r="C32" s="83">
        <f>D17+D26+C36</f>
        <v>11208.254488137154</v>
      </c>
      <c r="D32" s="83">
        <f>C32</f>
        <v>11208.254488137154</v>
      </c>
      <c r="V32" s="57" t="s">
        <v>132</v>
      </c>
      <c r="W32" s="219">
        <f>W30-W31</f>
        <v>105.02536871715529</v>
      </c>
      <c r="X32" t="s">
        <v>94</v>
      </c>
      <c r="Y32" s="184">
        <f>W31/W30</f>
        <v>0.95000000000000007</v>
      </c>
      <c r="Z32" t="s">
        <v>374</v>
      </c>
      <c r="AA32" s="18"/>
    </row>
    <row r="33" spans="1:25">
      <c r="B33" t="s">
        <v>213</v>
      </c>
      <c r="C33" s="187">
        <f>C34/(C34+C35)</f>
        <v>0.85694692626403401</v>
      </c>
      <c r="D33" s="188">
        <v>0.70499999999999996</v>
      </c>
      <c r="E33" s="193">
        <f>1-E48/D32</f>
        <v>0.70825073578932596</v>
      </c>
      <c r="F33" t="s">
        <v>222</v>
      </c>
    </row>
    <row r="34" spans="1:25">
      <c r="B34" t="s">
        <v>205</v>
      </c>
      <c r="C34" s="83">
        <f>E17+E26</f>
        <v>9429.2051125100697</v>
      </c>
      <c r="D34" s="83">
        <f>D32*D33</f>
        <v>7901.819414136693</v>
      </c>
      <c r="G34" s="48"/>
      <c r="H34" s="48"/>
      <c r="I34" s="48"/>
    </row>
    <row r="35" spans="1:25">
      <c r="B35" s="57" t="s">
        <v>204</v>
      </c>
      <c r="C35" s="107">
        <f>G17+G26</f>
        <v>1574.0493756270826</v>
      </c>
      <c r="D35" s="107">
        <f>D32*(1-D33)</f>
        <v>3306.4350740004611</v>
      </c>
      <c r="T35" t="s">
        <v>521</v>
      </c>
      <c r="U35" s="83">
        <f>L17+L26</f>
        <v>1166.618216889729</v>
      </c>
      <c r="V35" t="s">
        <v>523</v>
      </c>
      <c r="W35" s="83">
        <f>F8+G8</f>
        <v>947.2939921144598</v>
      </c>
      <c r="X35" t="s">
        <v>525</v>
      </c>
      <c r="Y35" s="83">
        <f>U35-W35</f>
        <v>219.32422477526916</v>
      </c>
    </row>
    <row r="36" spans="1:25">
      <c r="B36" t="s">
        <v>77</v>
      </c>
      <c r="C36" s="49">
        <v>205</v>
      </c>
      <c r="D36" s="49">
        <v>205</v>
      </c>
      <c r="T36" s="195" t="s">
        <v>522</v>
      </c>
      <c r="U36" s="175">
        <f>P17+P26</f>
        <v>1526.7815824340389</v>
      </c>
      <c r="V36" t="s">
        <v>524</v>
      </c>
      <c r="W36" s="83">
        <f>H8+I8</f>
        <v>62.706007885540146</v>
      </c>
      <c r="X36" t="s">
        <v>526</v>
      </c>
      <c r="Y36" s="83">
        <f>U36-W36</f>
        <v>1464.0755745484987</v>
      </c>
    </row>
    <row r="37" spans="1:25">
      <c r="A37" s="45">
        <f>L19</f>
        <v>715.8065484083844</v>
      </c>
      <c r="T37" s="176" t="s">
        <v>513</v>
      </c>
      <c r="U37" s="177">
        <f>U35+U36</f>
        <v>2693.3997993237681</v>
      </c>
      <c r="W37" s="45">
        <f>SUM(W35:W36)</f>
        <v>1010</v>
      </c>
      <c r="Y37" s="45">
        <f>SUM(Y35:Y36)</f>
        <v>1683.3997993237679</v>
      </c>
    </row>
    <row r="38" spans="1:25">
      <c r="B38" t="s">
        <v>206</v>
      </c>
      <c r="C38" s="83">
        <f>E8</f>
        <v>1010</v>
      </c>
      <c r="D38" s="83">
        <f>C38</f>
        <v>1010</v>
      </c>
      <c r="S38" s="193">
        <f>U38/U37</f>
        <v>0.6250092540091593</v>
      </c>
      <c r="T38" s="195" t="s">
        <v>512</v>
      </c>
      <c r="U38" s="175">
        <f>W17+W29+L20+L29</f>
        <v>1683.3997993237676</v>
      </c>
    </row>
    <row r="39" spans="1:25">
      <c r="A39" s="45">
        <f>N17+N26</f>
        <v>8467.5868956203449</v>
      </c>
      <c r="B39" t="s">
        <v>223</v>
      </c>
      <c r="C39" s="187">
        <f>(L17+L26)/(D17+D26)</f>
        <v>0.10602483275720699</v>
      </c>
      <c r="D39" s="188">
        <v>0.13</v>
      </c>
      <c r="E39" s="193">
        <f>D38/E17</f>
        <v>0.13908112425386099</v>
      </c>
      <c r="F39" t="s">
        <v>221</v>
      </c>
      <c r="T39" t="s">
        <v>167</v>
      </c>
      <c r="U39" s="83">
        <f>G17+G26</f>
        <v>1574.0493756270826</v>
      </c>
    </row>
    <row r="40" spans="1:25">
      <c r="B40" t="s">
        <v>214</v>
      </c>
      <c r="C40" s="83">
        <f>(D17+D26)*C39</f>
        <v>1166.618216889729</v>
      </c>
      <c r="D40" s="83">
        <f>E17*D39</f>
        <v>944.05334084258413</v>
      </c>
      <c r="T40" t="s">
        <v>140</v>
      </c>
      <c r="U40" s="83">
        <f>U38+U39</f>
        <v>3257.4491749508502</v>
      </c>
    </row>
    <row r="41" spans="1:25">
      <c r="A41" s="45">
        <f>P17+P26</f>
        <v>1526.7815824340389</v>
      </c>
      <c r="U41" s="54">
        <v>3270</v>
      </c>
    </row>
    <row r="42" spans="1:25">
      <c r="B42" t="s">
        <v>212</v>
      </c>
      <c r="C42" s="83">
        <f>C34+C36-C40</f>
        <v>8467.5868956203412</v>
      </c>
      <c r="D42" s="83">
        <f>D34+D36-D40</f>
        <v>7162.7660732941085</v>
      </c>
    </row>
    <row r="43" spans="1:25">
      <c r="A43" s="45">
        <f>W17+W29</f>
        <v>1464.0755745484987</v>
      </c>
      <c r="B43" t="s">
        <v>220</v>
      </c>
      <c r="C43" s="187">
        <f>(P17+P26)/(N17+N26)</f>
        <v>0.18030893585795144</v>
      </c>
      <c r="D43" s="187">
        <f>C43</f>
        <v>0.18030893585795144</v>
      </c>
    </row>
    <row r="44" spans="1:25">
      <c r="B44" t="s">
        <v>209</v>
      </c>
      <c r="C44" s="83">
        <f>C42*C43</f>
        <v>1526.7815824340382</v>
      </c>
      <c r="D44" s="83">
        <f>D42*D43</f>
        <v>1291.5107284750982</v>
      </c>
    </row>
    <row r="46" spans="1:25">
      <c r="B46" s="57" t="s">
        <v>210</v>
      </c>
      <c r="C46" s="107">
        <f>C44-(C38-C40)</f>
        <v>1683.3997993237672</v>
      </c>
      <c r="D46" s="107">
        <f>D44-(D38-D40)</f>
        <v>1225.5640693176824</v>
      </c>
      <c r="E46" s="45"/>
    </row>
    <row r="48" spans="1:25">
      <c r="B48" s="57" t="s">
        <v>211</v>
      </c>
      <c r="C48" s="83">
        <f>C35+C46</f>
        <v>3257.4491749508497</v>
      </c>
      <c r="D48" s="83">
        <f>D35+D46</f>
        <v>4531.999143318144</v>
      </c>
      <c r="E48">
        <v>3270</v>
      </c>
    </row>
    <row r="50" spans="1:12">
      <c r="A50" s="72"/>
      <c r="B50" s="72"/>
      <c r="C50" s="72"/>
      <c r="D50" s="72"/>
      <c r="E50" s="72"/>
      <c r="F50" s="72"/>
      <c r="G50" s="72"/>
      <c r="H50" s="72"/>
      <c r="I50" s="72"/>
      <c r="J50" s="72"/>
      <c r="K50" s="72"/>
    </row>
    <row r="51" spans="1:12">
      <c r="A51" s="270"/>
      <c r="B51" s="270"/>
      <c r="C51" s="270"/>
      <c r="D51" s="270"/>
      <c r="E51" s="270"/>
      <c r="F51" s="270"/>
      <c r="G51" s="270"/>
      <c r="H51" s="270"/>
      <c r="I51" s="270"/>
      <c r="J51" s="270"/>
      <c r="K51" s="270"/>
      <c r="L51" s="290"/>
    </row>
    <row r="52" spans="1:12">
      <c r="A52" s="270" t="s">
        <v>561</v>
      </c>
      <c r="B52" s="270"/>
      <c r="C52" s="270"/>
      <c r="D52" s="270"/>
      <c r="E52" s="270"/>
      <c r="F52" s="270"/>
      <c r="G52" s="270"/>
      <c r="H52" s="270"/>
      <c r="I52" s="270"/>
      <c r="J52" s="270"/>
      <c r="K52" s="270"/>
      <c r="L52" s="290"/>
    </row>
    <row r="53" spans="1:12">
      <c r="A53" s="270" t="s">
        <v>133</v>
      </c>
      <c r="B53" s="270" t="s">
        <v>575</v>
      </c>
      <c r="C53" s="270" t="s">
        <v>574</v>
      </c>
      <c r="D53" s="270" t="s">
        <v>572</v>
      </c>
      <c r="E53" s="270" t="s">
        <v>234</v>
      </c>
      <c r="F53" s="270" t="s">
        <v>235</v>
      </c>
      <c r="G53" s="270"/>
      <c r="H53" s="270"/>
      <c r="I53" s="270"/>
      <c r="J53" s="270"/>
      <c r="K53" s="270"/>
      <c r="L53" s="290"/>
    </row>
    <row r="54" spans="1:12">
      <c r="A54" s="270"/>
      <c r="B54" s="270" t="s">
        <v>566</v>
      </c>
      <c r="C54" s="700">
        <f>C3</f>
        <v>726.05000000000007</v>
      </c>
      <c r="D54" s="701">
        <f>C54/C55</f>
        <v>1.0549444444444445</v>
      </c>
      <c r="E54" s="702">
        <f>Process!G2</f>
        <v>4.4999999999999998E-2</v>
      </c>
      <c r="F54" s="703">
        <f>D54*E54</f>
        <v>4.7472500000000001E-2</v>
      </c>
      <c r="G54" s="270"/>
      <c r="H54" s="270"/>
      <c r="I54" s="270"/>
      <c r="J54" s="270"/>
      <c r="K54" s="449"/>
      <c r="L54" s="290"/>
    </row>
    <row r="55" spans="1:12">
      <c r="A55" s="270"/>
      <c r="B55" s="270" t="s">
        <v>53</v>
      </c>
      <c r="C55" s="479">
        <f>E5</f>
        <v>688.23529411764707</v>
      </c>
      <c r="D55" s="270"/>
      <c r="E55" s="270" t="s">
        <v>306</v>
      </c>
      <c r="F55" s="704">
        <f>F54</f>
        <v>4.7472500000000001E-2</v>
      </c>
      <c r="G55" s="270"/>
      <c r="J55" s="270"/>
      <c r="K55" s="270"/>
      <c r="L55" s="290"/>
    </row>
    <row r="56" spans="1:12">
      <c r="A56" s="270"/>
      <c r="B56" s="270" t="s">
        <v>112</v>
      </c>
      <c r="C56" s="480">
        <f>E4</f>
        <v>37.814705882353017</v>
      </c>
      <c r="D56" s="270"/>
      <c r="E56" s="270" t="s">
        <v>587</v>
      </c>
      <c r="F56" s="705">
        <f>Process!P2/Process!Q2</f>
        <v>1.5266419191438099</v>
      </c>
      <c r="G56" s="72"/>
      <c r="I56" s="691"/>
      <c r="L56" s="290"/>
    </row>
    <row r="57" spans="1:12">
      <c r="A57" s="270"/>
      <c r="B57" s="270" t="s">
        <v>573</v>
      </c>
      <c r="C57" s="698">
        <f>C4</f>
        <v>726.05000000000007</v>
      </c>
      <c r="D57" s="270"/>
      <c r="E57" s="270" t="s">
        <v>561</v>
      </c>
      <c r="F57" s="709">
        <f>SUM(F55:F56)</f>
        <v>1.5741144191438099</v>
      </c>
      <c r="G57" s="270" t="s">
        <v>567</v>
      </c>
      <c r="H57" s="270"/>
      <c r="I57" s="270"/>
      <c r="J57" s="270"/>
      <c r="K57" s="270"/>
      <c r="L57" s="290"/>
    </row>
    <row r="58" spans="1:12">
      <c r="A58" s="270"/>
      <c r="B58" s="72"/>
      <c r="C58" s="270"/>
      <c r="D58" s="270"/>
      <c r="E58" s="270"/>
      <c r="F58" s="270"/>
      <c r="G58" s="270"/>
      <c r="H58" s="270"/>
      <c r="I58" s="270"/>
      <c r="J58" s="270"/>
      <c r="K58" s="270"/>
      <c r="L58" s="290"/>
    </row>
    <row r="59" spans="1:12">
      <c r="A59" s="72"/>
      <c r="B59" s="270"/>
      <c r="C59" s="270"/>
      <c r="D59" s="270"/>
      <c r="E59" s="270"/>
      <c r="F59" s="270"/>
      <c r="G59" s="270"/>
      <c r="H59" s="270"/>
      <c r="I59" s="270"/>
      <c r="J59" s="270"/>
      <c r="K59" s="270"/>
      <c r="L59" s="290"/>
    </row>
    <row r="60" spans="1:12">
      <c r="A60" s="270" t="s">
        <v>2</v>
      </c>
      <c r="B60" s="270" t="s">
        <v>575</v>
      </c>
      <c r="C60" s="270" t="s">
        <v>574</v>
      </c>
      <c r="D60" s="270" t="s">
        <v>572</v>
      </c>
      <c r="E60" s="270" t="s">
        <v>234</v>
      </c>
      <c r="F60" s="270" t="s">
        <v>235</v>
      </c>
      <c r="G60" s="270"/>
      <c r="H60" s="270"/>
      <c r="I60" s="270"/>
      <c r="J60" s="270"/>
      <c r="K60" s="270"/>
      <c r="L60" s="290"/>
    </row>
    <row r="61" spans="1:12">
      <c r="A61" s="270"/>
      <c r="B61" s="270" t="s">
        <v>565</v>
      </c>
      <c r="C61" s="266">
        <f>C9</f>
        <v>639.61941176470577</v>
      </c>
      <c r="D61" s="474">
        <f>C61/C63</f>
        <v>0.6332865463016889</v>
      </c>
      <c r="E61" s="707">
        <f>Process!G4</f>
        <v>3.827</v>
      </c>
      <c r="F61" s="692">
        <f t="shared" ref="F61:F62" si="0">D61*E61</f>
        <v>2.4235876126965632</v>
      </c>
      <c r="G61" s="270"/>
      <c r="H61" s="270"/>
      <c r="I61" s="270"/>
      <c r="J61" s="270"/>
      <c r="K61" s="270"/>
      <c r="L61" s="290"/>
    </row>
    <row r="62" spans="1:12">
      <c r="A62" s="270"/>
      <c r="B62" s="270" t="s">
        <v>570</v>
      </c>
      <c r="C62" s="268">
        <f>C8</f>
        <v>385.41176470588238</v>
      </c>
      <c r="D62" s="475">
        <f>C62/C63</f>
        <v>0.3815958066394875</v>
      </c>
      <c r="E62" s="699">
        <f>F57</f>
        <v>1.5741144191438099</v>
      </c>
      <c r="F62" s="693">
        <f t="shared" si="0"/>
        <v>0.60067546151603046</v>
      </c>
      <c r="G62" s="270"/>
      <c r="H62" s="270"/>
      <c r="I62" s="270"/>
      <c r="J62" s="270"/>
      <c r="K62" s="270"/>
      <c r="L62" s="290"/>
    </row>
    <row r="63" spans="1:12">
      <c r="A63" s="270"/>
      <c r="B63" s="270" t="s">
        <v>53</v>
      </c>
      <c r="C63" s="479">
        <f>E8</f>
        <v>1010</v>
      </c>
      <c r="D63" s="270"/>
      <c r="E63" s="270" t="s">
        <v>306</v>
      </c>
      <c r="F63" s="692">
        <f>SUM(F61:F62)</f>
        <v>3.0242630742125938</v>
      </c>
      <c r="G63" s="270"/>
      <c r="H63" s="270"/>
      <c r="I63" s="270"/>
      <c r="J63" s="270"/>
      <c r="K63" s="270"/>
      <c r="L63" s="290"/>
    </row>
    <row r="64" spans="1:12">
      <c r="A64" s="270"/>
      <c r="B64" s="270" t="s">
        <v>112</v>
      </c>
      <c r="C64" s="480">
        <f>E9</f>
        <v>15.031176470588207</v>
      </c>
      <c r="D64" s="270"/>
      <c r="E64" s="270" t="s">
        <v>587</v>
      </c>
      <c r="F64" s="694">
        <f>Process!E4/Process!Q4</f>
        <v>5.4896199999999995</v>
      </c>
      <c r="G64" s="270"/>
      <c r="H64" s="270"/>
      <c r="I64" s="270"/>
      <c r="J64" s="270"/>
      <c r="K64" s="270"/>
      <c r="L64" s="290"/>
    </row>
    <row r="65" spans="1:12">
      <c r="A65" s="270"/>
      <c r="B65" s="270" t="s">
        <v>573</v>
      </c>
      <c r="C65" s="481">
        <f>SUM(C61:C62)</f>
        <v>1025.0311764705882</v>
      </c>
      <c r="D65" s="270"/>
      <c r="E65" s="270" t="s">
        <v>561</v>
      </c>
      <c r="F65" s="708">
        <f>SUM(F63:F64)</f>
        <v>8.5138830742125933</v>
      </c>
      <c r="G65" s="270" t="s">
        <v>576</v>
      </c>
      <c r="H65" s="270"/>
      <c r="K65" s="270"/>
      <c r="L65" s="290"/>
    </row>
    <row r="66" spans="1:12">
      <c r="A66" s="270"/>
      <c r="B66" s="270"/>
      <c r="C66" s="270"/>
      <c r="D66" s="270"/>
      <c r="E66" s="270"/>
      <c r="F66" s="270"/>
      <c r="G66" s="270"/>
      <c r="H66" s="270"/>
      <c r="I66" s="270"/>
      <c r="J66" s="270"/>
      <c r="K66" s="270"/>
      <c r="L66" s="290"/>
    </row>
    <row r="67" spans="1:12">
      <c r="A67" s="270"/>
      <c r="B67" s="270"/>
      <c r="C67" s="270"/>
      <c r="D67" s="270"/>
      <c r="E67" s="270"/>
      <c r="F67" s="270"/>
      <c r="G67" s="270"/>
      <c r="H67" s="270"/>
      <c r="I67" s="270"/>
      <c r="J67" s="270"/>
      <c r="K67" s="270"/>
      <c r="L67" s="290"/>
    </row>
    <row r="68" spans="1:12">
      <c r="A68" s="270" t="s">
        <v>3</v>
      </c>
      <c r="B68" s="270" t="s">
        <v>575</v>
      </c>
      <c r="C68" s="270" t="s">
        <v>574</v>
      </c>
      <c r="D68" s="270" t="s">
        <v>572</v>
      </c>
      <c r="E68" s="270" t="s">
        <v>234</v>
      </c>
      <c r="F68" s="270" t="s">
        <v>235</v>
      </c>
      <c r="G68" s="270"/>
      <c r="H68" s="270"/>
      <c r="I68" s="270"/>
      <c r="J68" s="270"/>
      <c r="K68" s="270"/>
      <c r="L68" s="290"/>
    </row>
    <row r="69" spans="1:12">
      <c r="A69" s="270"/>
      <c r="B69" s="270" t="s">
        <v>568</v>
      </c>
      <c r="C69" s="479">
        <f>W17</f>
        <v>1385.6770681818414</v>
      </c>
      <c r="D69" s="474">
        <f>C69/C73</f>
        <v>0.21409990903022005</v>
      </c>
      <c r="E69" s="707">
        <f>Process!G5</f>
        <v>10.845000000000001</v>
      </c>
      <c r="F69" s="704">
        <f>D69*E69</f>
        <v>2.3219135134327367</v>
      </c>
      <c r="G69" s="270"/>
      <c r="H69" s="270"/>
      <c r="I69" s="270"/>
      <c r="J69" s="270"/>
      <c r="K69" s="270"/>
      <c r="L69" s="290"/>
    </row>
    <row r="70" spans="1:12">
      <c r="A70" s="270"/>
      <c r="B70" s="270" t="s">
        <v>569</v>
      </c>
      <c r="C70" s="480">
        <f>H8</f>
        <v>31.353003942770073</v>
      </c>
      <c r="D70" s="473">
        <f>C70/C73</f>
        <v>4.844328773354791E-3</v>
      </c>
      <c r="E70" s="711">
        <f>F65</f>
        <v>8.5138830742125933</v>
      </c>
      <c r="F70" s="710">
        <f>D70*E70</f>
        <v>4.1244048749386406E-2</v>
      </c>
      <c r="G70" s="270"/>
      <c r="H70" s="270"/>
      <c r="I70" s="270"/>
      <c r="J70" s="270"/>
      <c r="K70" s="270"/>
      <c r="L70" s="290"/>
    </row>
    <row r="71" spans="1:12">
      <c r="A71" s="270"/>
      <c r="B71" s="485" t="s">
        <v>577</v>
      </c>
      <c r="C71" s="480">
        <f>W13+W15</f>
        <v>2220.9309612506368</v>
      </c>
      <c r="D71" s="473">
        <f>C71/C73</f>
        <v>0.34315435225472091</v>
      </c>
      <c r="E71" s="711">
        <f>Process!P3/Process!Q3</f>
        <v>7.2995097271470313E-2</v>
      </c>
      <c r="F71" s="710">
        <f t="shared" ref="F71:F72" si="1">D71*E71</f>
        <v>2.504858532196174E-2</v>
      </c>
      <c r="G71" s="270"/>
      <c r="H71" s="270"/>
      <c r="I71" s="270"/>
      <c r="J71" s="270"/>
      <c r="K71" s="270"/>
      <c r="L71" s="290"/>
    </row>
    <row r="72" spans="1:12">
      <c r="A72" s="270"/>
      <c r="B72" s="270" t="s">
        <v>578</v>
      </c>
      <c r="C72" s="481">
        <f>W12</f>
        <v>3174.7809560925325</v>
      </c>
      <c r="D72" s="475">
        <f>C72/C73</f>
        <v>0.49053298888907282</v>
      </c>
      <c r="E72" s="699">
        <v>0</v>
      </c>
      <c r="F72" s="706">
        <f t="shared" si="1"/>
        <v>0</v>
      </c>
      <c r="G72" s="270"/>
      <c r="H72" s="270"/>
      <c r="I72" s="270"/>
      <c r="J72" s="270"/>
      <c r="K72" s="270"/>
      <c r="L72" s="290"/>
    </row>
    <row r="73" spans="1:12">
      <c r="A73" s="270"/>
      <c r="B73" s="270" t="s">
        <v>53</v>
      </c>
      <c r="C73" s="480">
        <f>W19</f>
        <v>6472.1048899943908</v>
      </c>
      <c r="D73" s="270"/>
      <c r="E73" s="270" t="s">
        <v>306</v>
      </c>
      <c r="F73" s="710">
        <f>SUM(F69:F72)</f>
        <v>2.3882061475040848</v>
      </c>
      <c r="G73" s="270"/>
      <c r="H73" s="270"/>
      <c r="I73" s="270"/>
      <c r="J73" s="270"/>
      <c r="K73" s="270"/>
      <c r="L73" s="290"/>
    </row>
    <row r="74" spans="1:12">
      <c r="A74" s="270"/>
      <c r="B74" s="270" t="s">
        <v>112</v>
      </c>
      <c r="C74" s="480">
        <f>W20</f>
        <v>340.63709947338975</v>
      </c>
      <c r="D74" s="270"/>
      <c r="E74" s="270" t="s">
        <v>587</v>
      </c>
      <c r="F74" s="710">
        <f>Process!P5/Process!Q5</f>
        <v>0.45956461626213907</v>
      </c>
      <c r="G74" s="270"/>
      <c r="H74" s="270"/>
      <c r="I74" s="270"/>
      <c r="J74" s="270"/>
      <c r="K74" s="270"/>
      <c r="L74" s="290"/>
    </row>
    <row r="75" spans="1:12">
      <c r="A75" s="270"/>
      <c r="B75" s="270" t="s">
        <v>573</v>
      </c>
      <c r="C75" s="481">
        <f>W18</f>
        <v>6812.7419894677805</v>
      </c>
      <c r="D75" s="270"/>
      <c r="E75" s="270" t="s">
        <v>561</v>
      </c>
      <c r="F75" s="709">
        <f>SUM(F73:F74)</f>
        <v>2.8477707637662237</v>
      </c>
      <c r="G75" s="270" t="s">
        <v>579</v>
      </c>
      <c r="H75" s="270"/>
      <c r="I75" s="270"/>
      <c r="J75" s="270"/>
      <c r="K75" s="270"/>
      <c r="L75" s="290"/>
    </row>
    <row r="76" spans="1:12">
      <c r="A76" s="270"/>
      <c r="B76" s="270"/>
      <c r="C76" s="270"/>
      <c r="D76" s="270"/>
      <c r="E76" s="270"/>
      <c r="F76" s="270"/>
      <c r="G76" s="270"/>
      <c r="H76" s="270"/>
      <c r="I76" s="270"/>
      <c r="J76" s="270"/>
      <c r="K76" s="270"/>
      <c r="L76" s="290"/>
    </row>
    <row r="77" spans="1:12">
      <c r="A77" s="270"/>
      <c r="B77" s="270"/>
      <c r="C77" s="270"/>
      <c r="D77" s="270"/>
      <c r="E77" s="270"/>
      <c r="F77" s="270"/>
      <c r="G77" s="270"/>
      <c r="H77" s="270"/>
      <c r="I77" s="270"/>
      <c r="J77" s="270"/>
      <c r="K77" s="270"/>
      <c r="L77" s="290"/>
    </row>
    <row r="78" spans="1:12">
      <c r="A78" s="270" t="s">
        <v>4</v>
      </c>
      <c r="B78" s="270" t="s">
        <v>575</v>
      </c>
      <c r="C78" s="270" t="s">
        <v>574</v>
      </c>
      <c r="D78" s="270" t="s">
        <v>572</v>
      </c>
      <c r="E78" s="270" t="s">
        <v>234</v>
      </c>
      <c r="F78" s="270" t="s">
        <v>235</v>
      </c>
      <c r="G78" s="270"/>
      <c r="H78" s="270"/>
      <c r="I78" s="270"/>
      <c r="J78" s="270"/>
      <c r="K78" s="270"/>
      <c r="L78" s="290"/>
    </row>
    <row r="79" spans="1:12">
      <c r="A79" s="270"/>
      <c r="B79" s="270" t="s">
        <v>568</v>
      </c>
      <c r="C79" s="266">
        <f>W29</f>
        <v>78.39850636665733</v>
      </c>
      <c r="D79" s="695">
        <f>C79/$C$83</f>
        <v>3.9288004675374098E-2</v>
      </c>
      <c r="E79" s="707">
        <f>E69</f>
        <v>10.845000000000001</v>
      </c>
      <c r="F79" s="445">
        <f>D79*E79</f>
        <v>0.42607841070443214</v>
      </c>
      <c r="G79" s="270"/>
      <c r="H79" s="270"/>
      <c r="I79" s="270"/>
      <c r="J79" s="270"/>
      <c r="K79" s="270"/>
      <c r="L79" s="290"/>
    </row>
    <row r="80" spans="1:12">
      <c r="A80" s="270"/>
      <c r="B80" s="270" t="s">
        <v>582</v>
      </c>
      <c r="C80" s="267">
        <f>I8</f>
        <v>31.353003942770073</v>
      </c>
      <c r="D80" s="696">
        <f t="shared" ref="D80:D82" si="2">C80/$C$83</f>
        <v>1.5711995324625892E-2</v>
      </c>
      <c r="E80" s="711">
        <f>E70</f>
        <v>8.5138830742125933</v>
      </c>
      <c r="F80" s="446">
        <f t="shared" ref="F80:F82" si="3">D80*E80</f>
        <v>0.13377009105643978</v>
      </c>
      <c r="G80" s="270"/>
      <c r="H80" s="270"/>
      <c r="I80" s="270"/>
      <c r="J80" s="270"/>
      <c r="K80" s="270"/>
      <c r="L80" s="290"/>
    </row>
    <row r="81" spans="1:12">
      <c r="A81" s="270"/>
      <c r="B81" s="485" t="s">
        <v>581</v>
      </c>
      <c r="C81" s="267">
        <f>W25+W27</f>
        <v>1638.0024244678445</v>
      </c>
      <c r="D81" s="696">
        <f t="shared" si="2"/>
        <v>0.82085552255031602</v>
      </c>
      <c r="E81" s="711">
        <f>E71</f>
        <v>7.2995097271470313E-2</v>
      </c>
      <c r="F81" s="446">
        <f t="shared" si="3"/>
        <v>5.9918428714383909E-2</v>
      </c>
      <c r="G81" s="270"/>
      <c r="H81" s="270"/>
      <c r="I81" s="270"/>
      <c r="J81" s="270"/>
      <c r="K81" s="270"/>
      <c r="L81" s="290"/>
    </row>
    <row r="82" spans="1:12">
      <c r="A82" s="270"/>
      <c r="B82" s="270" t="s">
        <v>578</v>
      </c>
      <c r="C82" s="268">
        <f>W24</f>
        <v>352.7534395658368</v>
      </c>
      <c r="D82" s="697">
        <f t="shared" si="2"/>
        <v>0.17677605639705243</v>
      </c>
      <c r="E82" s="699">
        <f>E72</f>
        <v>0</v>
      </c>
      <c r="F82" s="447">
        <f t="shared" si="3"/>
        <v>0</v>
      </c>
      <c r="G82" s="270"/>
      <c r="H82" s="270"/>
      <c r="I82" s="270"/>
      <c r="J82" s="270"/>
      <c r="K82" s="270"/>
      <c r="L82" s="290"/>
    </row>
    <row r="83" spans="1:12">
      <c r="A83" s="270"/>
      <c r="B83" s="270" t="s">
        <v>53</v>
      </c>
      <c r="C83" s="480">
        <f>W31</f>
        <v>1995.4820056259532</v>
      </c>
      <c r="D83" s="270"/>
      <c r="E83" s="270" t="s">
        <v>306</v>
      </c>
      <c r="F83" s="710">
        <f>SUM(F79:F82)</f>
        <v>0.61976693047525577</v>
      </c>
      <c r="G83" s="270"/>
      <c r="H83" s="270"/>
      <c r="I83" s="270"/>
      <c r="J83" s="270"/>
      <c r="K83" s="270"/>
      <c r="L83" s="290"/>
    </row>
    <row r="84" spans="1:12">
      <c r="A84" s="270"/>
      <c r="B84" s="270" t="s">
        <v>112</v>
      </c>
      <c r="C84" s="480">
        <f>W32</f>
        <v>105.02536871715529</v>
      </c>
      <c r="D84" s="270"/>
      <c r="E84" s="270" t="s">
        <v>587</v>
      </c>
      <c r="F84" s="710">
        <f>Process!P6/Process!Q6</f>
        <v>0.45956461626213913</v>
      </c>
      <c r="G84" s="270"/>
      <c r="H84" s="270"/>
      <c r="I84" s="270"/>
      <c r="J84" s="270"/>
      <c r="K84" s="270"/>
      <c r="L84" s="290"/>
    </row>
    <row r="85" spans="1:12">
      <c r="A85" s="270"/>
      <c r="B85" s="270" t="s">
        <v>573</v>
      </c>
      <c r="C85" s="481">
        <f>W30</f>
        <v>2100.5073743431085</v>
      </c>
      <c r="D85" s="270"/>
      <c r="E85" s="270" t="s">
        <v>561</v>
      </c>
      <c r="F85" s="709">
        <f>SUM(F83:F84)</f>
        <v>1.079331546737395</v>
      </c>
      <c r="G85" s="270" t="s">
        <v>580</v>
      </c>
      <c r="H85" s="270"/>
      <c r="I85" s="270"/>
      <c r="J85" s="270"/>
      <c r="K85" s="270"/>
      <c r="L85" s="290"/>
    </row>
    <row r="86" spans="1:12">
      <c r="A86" s="270"/>
      <c r="B86" s="72"/>
      <c r="C86" s="72"/>
      <c r="D86" s="72"/>
      <c r="E86" s="72"/>
      <c r="F86" s="270"/>
      <c r="G86" s="270"/>
      <c r="H86" s="270"/>
      <c r="I86" s="270"/>
      <c r="J86" s="270"/>
      <c r="K86" s="270"/>
      <c r="L86" s="290"/>
    </row>
    <row r="87" spans="1:12">
      <c r="A87" s="270"/>
      <c r="B87" s="72"/>
      <c r="C87" s="72"/>
      <c r="D87" s="72"/>
      <c r="E87" s="72"/>
      <c r="F87" s="270"/>
      <c r="G87" s="270"/>
      <c r="H87" s="270"/>
      <c r="I87" s="270"/>
      <c r="J87" s="270"/>
      <c r="K87" s="270"/>
      <c r="L87" s="290"/>
    </row>
    <row r="88" spans="1:12">
      <c r="A88" s="270" t="s">
        <v>5</v>
      </c>
      <c r="B88" s="270" t="s">
        <v>575</v>
      </c>
      <c r="C88" s="270" t="s">
        <v>574</v>
      </c>
      <c r="D88" s="270" t="s">
        <v>572</v>
      </c>
      <c r="E88" s="270" t="s">
        <v>234</v>
      </c>
      <c r="F88" s="270" t="s">
        <v>235</v>
      </c>
      <c r="G88" s="270"/>
      <c r="H88" s="270"/>
      <c r="I88" s="270"/>
      <c r="J88" s="270"/>
      <c r="K88" s="270"/>
      <c r="L88" s="290"/>
    </row>
    <row r="89" spans="1:12">
      <c r="A89" s="270"/>
      <c r="B89" s="270" t="s">
        <v>562</v>
      </c>
      <c r="C89" s="479">
        <f>L20</f>
        <v>165.72860973002003</v>
      </c>
      <c r="D89" s="695">
        <f>C89/$C$92</f>
        <v>2.2536948864134456E-2</v>
      </c>
      <c r="E89" s="712">
        <f>E69</f>
        <v>10.845000000000001</v>
      </c>
      <c r="F89" s="704">
        <f>D89*E89</f>
        <v>0.24441321043153819</v>
      </c>
      <c r="G89" s="270"/>
      <c r="H89" s="270"/>
      <c r="I89" s="473"/>
      <c r="J89" s="473"/>
      <c r="K89" s="473"/>
      <c r="L89" s="290"/>
    </row>
    <row r="90" spans="1:12">
      <c r="A90" s="270"/>
      <c r="B90" s="270" t="s">
        <v>563</v>
      </c>
      <c r="C90" s="480">
        <f>L19</f>
        <v>715.8065484083844</v>
      </c>
      <c r="D90" s="696">
        <f t="shared" ref="D90:D91" si="4">C90/$C$92</f>
        <v>9.7340438711048818E-2</v>
      </c>
      <c r="E90" s="713">
        <f>F65</f>
        <v>8.5138830742125933</v>
      </c>
      <c r="F90" s="710">
        <f t="shared" ref="F90:F91" si="5">D90*E90</f>
        <v>0.82874511357842684</v>
      </c>
      <c r="G90" s="270"/>
      <c r="I90" s="473"/>
      <c r="J90" s="473"/>
      <c r="K90" s="473"/>
      <c r="L90" s="290"/>
    </row>
    <row r="91" spans="1:12">
      <c r="A91" s="270"/>
      <c r="B91" s="270" t="s">
        <v>583</v>
      </c>
      <c r="C91" s="481">
        <f>N17</f>
        <v>6472.1048899943908</v>
      </c>
      <c r="D91" s="697">
        <f t="shared" si="4"/>
        <v>0.88012261242481682</v>
      </c>
      <c r="E91" s="714">
        <f>F75</f>
        <v>2.8477707637662237</v>
      </c>
      <c r="F91" s="706">
        <f t="shared" si="5"/>
        <v>2.5063874441929448</v>
      </c>
      <c r="G91" s="270"/>
      <c r="I91" s="473"/>
      <c r="J91" s="473"/>
      <c r="K91" s="473"/>
      <c r="L91" s="290"/>
    </row>
    <row r="92" spans="1:12">
      <c r="A92" s="270"/>
      <c r="B92" s="270" t="s">
        <v>53</v>
      </c>
      <c r="C92" s="480">
        <f>J17</f>
        <v>7353.6400481327946</v>
      </c>
      <c r="D92" s="270"/>
      <c r="E92" s="270" t="s">
        <v>306</v>
      </c>
      <c r="F92" s="710">
        <f>SUM(F89:F91)</f>
        <v>3.5795457682029097</v>
      </c>
      <c r="G92" s="270"/>
      <c r="I92" s="473"/>
      <c r="J92" s="473"/>
      <c r="K92" s="473"/>
      <c r="L92" s="290"/>
    </row>
    <row r="93" spans="1:12">
      <c r="A93" s="270"/>
      <c r="B93" s="270" t="s">
        <v>112</v>
      </c>
      <c r="C93" s="480">
        <v>0</v>
      </c>
      <c r="D93" s="270"/>
      <c r="E93" s="270" t="s">
        <v>587</v>
      </c>
      <c r="F93" s="710">
        <f>Process!P7/Process!Q7</f>
        <v>9.1529898713860566E-2</v>
      </c>
      <c r="G93" s="270"/>
      <c r="H93" s="270"/>
      <c r="I93" s="270"/>
      <c r="J93" s="270"/>
      <c r="K93" s="473"/>
      <c r="L93" s="290"/>
    </row>
    <row r="94" spans="1:12">
      <c r="A94" s="270"/>
      <c r="B94" s="270" t="s">
        <v>573</v>
      </c>
      <c r="C94" s="481">
        <f>J17</f>
        <v>7353.6400481327946</v>
      </c>
      <c r="D94" s="270"/>
      <c r="E94" s="270" t="s">
        <v>561</v>
      </c>
      <c r="F94" s="709">
        <f>SUM(F92:F93)</f>
        <v>3.6710756669167703</v>
      </c>
      <c r="G94" s="270" t="s">
        <v>584</v>
      </c>
      <c r="H94" s="270"/>
      <c r="I94" s="270"/>
      <c r="J94" s="270"/>
      <c r="K94" s="270"/>
      <c r="L94" s="290"/>
    </row>
    <row r="95" spans="1:12">
      <c r="A95" s="270"/>
      <c r="B95" s="270"/>
      <c r="C95" s="270"/>
      <c r="D95" s="270"/>
      <c r="E95" s="270"/>
      <c r="F95" s="270"/>
      <c r="G95" s="270"/>
      <c r="H95" s="270"/>
      <c r="I95" s="270"/>
      <c r="J95" s="270"/>
      <c r="K95" s="270"/>
      <c r="L95" s="290"/>
    </row>
    <row r="96" spans="1:12">
      <c r="A96" s="270"/>
      <c r="B96" s="270"/>
      <c r="C96" s="270"/>
      <c r="D96" s="270"/>
      <c r="E96" s="270"/>
      <c r="F96" s="270"/>
      <c r="G96" s="270"/>
      <c r="H96" s="270"/>
      <c r="I96" s="270"/>
      <c r="J96" s="270"/>
      <c r="K96" s="270"/>
      <c r="L96" s="290"/>
    </row>
    <row r="97" spans="1:12">
      <c r="A97" s="270" t="s">
        <v>6</v>
      </c>
      <c r="B97" s="270" t="s">
        <v>575</v>
      </c>
      <c r="C97" s="270" t="s">
        <v>574</v>
      </c>
      <c r="D97" s="270" t="s">
        <v>572</v>
      </c>
      <c r="E97" s="270" t="s">
        <v>234</v>
      </c>
      <c r="F97" s="270" t="s">
        <v>235</v>
      </c>
      <c r="G97" s="270"/>
      <c r="H97" s="270"/>
      <c r="I97" s="473"/>
      <c r="J97" s="473"/>
      <c r="K97" s="473"/>
      <c r="L97" s="290"/>
    </row>
    <row r="98" spans="1:12">
      <c r="A98" s="270"/>
      <c r="B98" s="270" t="s">
        <v>562</v>
      </c>
      <c r="C98" s="479">
        <f>L29</f>
        <v>53.595615045248962</v>
      </c>
      <c r="D98" s="695">
        <f>C98/$C$101</f>
        <v>2.3501024321743516E-2</v>
      </c>
      <c r="E98" s="712">
        <f>E69</f>
        <v>10.845000000000001</v>
      </c>
      <c r="F98" s="704">
        <f>D98*E98</f>
        <v>0.25486860876930845</v>
      </c>
      <c r="G98" s="270"/>
      <c r="H98" s="270"/>
      <c r="I98" s="473"/>
      <c r="J98" s="473"/>
      <c r="K98" s="473"/>
      <c r="L98" s="290"/>
    </row>
    <row r="99" spans="1:12">
      <c r="A99" s="270"/>
      <c r="B99" s="270" t="s">
        <v>564</v>
      </c>
      <c r="C99" s="480">
        <f>L28</f>
        <v>231.48744370607545</v>
      </c>
      <c r="D99" s="696">
        <f t="shared" ref="D99:D100" si="6">C99/$C$101</f>
        <v>0.10150442419816887</v>
      </c>
      <c r="E99" s="713">
        <f>F65</f>
        <v>8.5138830742125933</v>
      </c>
      <c r="F99" s="710">
        <f t="shared" ref="F99:F100" si="7">D99*E99</f>
        <v>0.86419679913848513</v>
      </c>
      <c r="G99" s="270"/>
      <c r="H99" s="270"/>
      <c r="I99" s="473"/>
      <c r="J99" s="473"/>
      <c r="K99" s="473"/>
      <c r="L99" s="290"/>
    </row>
    <row r="100" spans="1:12">
      <c r="A100" s="270"/>
      <c r="B100" s="270" t="s">
        <v>585</v>
      </c>
      <c r="C100" s="481">
        <f>N26</f>
        <v>1995.4820056259532</v>
      </c>
      <c r="D100" s="697">
        <f t="shared" si="6"/>
        <v>0.87499455148008776</v>
      </c>
      <c r="E100" s="714">
        <f>F85</f>
        <v>1.079331546737395</v>
      </c>
      <c r="F100" s="706">
        <f t="shared" si="7"/>
        <v>0.9444092226357963</v>
      </c>
      <c r="G100" s="270"/>
      <c r="H100" s="270"/>
      <c r="I100" s="473"/>
      <c r="J100" s="473"/>
      <c r="K100" s="473"/>
      <c r="L100" s="290"/>
    </row>
    <row r="101" spans="1:12">
      <c r="A101" s="270"/>
      <c r="B101" s="270" t="s">
        <v>53</v>
      </c>
      <c r="C101" s="480">
        <f>J26</f>
        <v>2280.5650643772774</v>
      </c>
      <c r="D101" s="270"/>
      <c r="E101" s="270" t="s">
        <v>306</v>
      </c>
      <c r="F101" s="710">
        <f>SUM(F98:F100)</f>
        <v>2.06347463054359</v>
      </c>
      <c r="G101" s="270"/>
      <c r="H101" s="270"/>
      <c r="I101" s="270"/>
      <c r="J101" s="270"/>
      <c r="K101" s="270"/>
      <c r="L101" s="290"/>
    </row>
    <row r="102" spans="1:12">
      <c r="A102" s="270"/>
      <c r="B102" s="270" t="s">
        <v>112</v>
      </c>
      <c r="C102" s="480">
        <v>0</v>
      </c>
      <c r="D102" s="270"/>
      <c r="E102" s="270" t="s">
        <v>587</v>
      </c>
      <c r="F102" s="710">
        <f>Process!P8/Process!Q8</f>
        <v>9.1529898713860566E-2</v>
      </c>
      <c r="G102" s="270"/>
      <c r="H102" s="270"/>
      <c r="I102" s="270"/>
      <c r="J102" s="270"/>
      <c r="K102" s="270"/>
      <c r="L102" s="290"/>
    </row>
    <row r="103" spans="1:12">
      <c r="A103" s="270"/>
      <c r="B103" s="270" t="s">
        <v>573</v>
      </c>
      <c r="C103" s="481">
        <f>J26</f>
        <v>2280.5650643772774</v>
      </c>
      <c r="D103" s="270"/>
      <c r="E103" s="270" t="s">
        <v>561</v>
      </c>
      <c r="F103" s="709">
        <f>SUM(F101:F102)</f>
        <v>2.1550045292574507</v>
      </c>
      <c r="G103" s="270" t="s">
        <v>586</v>
      </c>
      <c r="H103" s="270"/>
      <c r="I103" s="270"/>
      <c r="J103" s="270"/>
      <c r="K103" s="270"/>
      <c r="L103" s="290"/>
    </row>
    <row r="104" spans="1:12">
      <c r="A104" s="72"/>
      <c r="B104" s="72"/>
      <c r="C104" s="72"/>
      <c r="D104" s="72"/>
      <c r="E104" s="72"/>
      <c r="F104" s="72"/>
      <c r="G104" s="72"/>
      <c r="H104" s="72"/>
      <c r="I104" s="72"/>
      <c r="J104" s="72"/>
      <c r="K104" s="72"/>
    </row>
    <row r="105" spans="1:12">
      <c r="A105" s="72"/>
      <c r="B105" s="72"/>
      <c r="C105" s="72"/>
      <c r="D105" s="72"/>
      <c r="E105" s="72"/>
      <c r="F105" s="72"/>
      <c r="G105" s="72"/>
    </row>
    <row r="106" spans="1:12">
      <c r="A106" s="72"/>
      <c r="B106" s="72"/>
      <c r="C106" s="72"/>
      <c r="D106" s="72"/>
      <c r="E106" s="72"/>
      <c r="F106" s="72"/>
      <c r="G106" s="72"/>
    </row>
    <row r="107" spans="1:12">
      <c r="A107" s="72"/>
      <c r="B107" s="72"/>
      <c r="C107" s="72"/>
      <c r="D107" s="72"/>
      <c r="E107" s="72"/>
      <c r="F107" s="72"/>
      <c r="G107" s="72"/>
    </row>
    <row r="108" spans="1:12">
      <c r="A108" s="72"/>
      <c r="B108" s="72"/>
      <c r="C108" s="72"/>
      <c r="D108" s="72"/>
      <c r="E108" s="72"/>
      <c r="F108" s="72"/>
      <c r="G108" s="72"/>
    </row>
    <row r="109" spans="1:12">
      <c r="A109" s="72"/>
      <c r="B109" s="72"/>
      <c r="C109" s="72"/>
      <c r="D109" s="72"/>
      <c r="E109" s="72"/>
      <c r="F109" s="72"/>
      <c r="G109" s="72"/>
    </row>
    <row r="110" spans="1:12">
      <c r="A110" s="72"/>
      <c r="B110" s="72"/>
      <c r="C110" s="72"/>
      <c r="D110" s="72"/>
      <c r="E110" s="72"/>
      <c r="F110" s="72"/>
      <c r="G110" s="72"/>
    </row>
    <row r="111" spans="1:12">
      <c r="A111" s="72"/>
      <c r="B111" s="72"/>
      <c r="C111" s="72"/>
      <c r="D111" s="72"/>
      <c r="E111" s="72"/>
      <c r="F111" s="72"/>
      <c r="G111" s="72"/>
    </row>
    <row r="112" spans="1:12">
      <c r="A112" s="72"/>
      <c r="B112" s="72"/>
      <c r="C112" s="72"/>
      <c r="D112" s="72"/>
      <c r="E112" s="72"/>
      <c r="F112" s="72"/>
      <c r="G112" s="72"/>
    </row>
    <row r="113" spans="1:7">
      <c r="A113" s="72"/>
      <c r="B113" s="72"/>
      <c r="C113" s="72"/>
      <c r="D113" s="72"/>
      <c r="E113" s="72"/>
      <c r="F113" s="72"/>
      <c r="G113" s="72"/>
    </row>
    <row r="114" spans="1:7">
      <c r="A114" s="72"/>
      <c r="B114" s="72"/>
      <c r="C114" s="72"/>
      <c r="D114" s="72"/>
      <c r="E114" s="72"/>
      <c r="F114" s="72"/>
      <c r="G114" s="72"/>
    </row>
    <row r="115" spans="1:7">
      <c r="A115" s="72"/>
      <c r="B115" s="72"/>
      <c r="C115" s="72"/>
      <c r="D115" s="72"/>
      <c r="E115" s="72"/>
      <c r="F115" s="72"/>
      <c r="G115" s="72"/>
    </row>
    <row r="116" spans="1:7">
      <c r="A116" s="72"/>
      <c r="B116" s="72"/>
      <c r="C116" s="72"/>
      <c r="D116" s="72"/>
      <c r="E116" s="72"/>
      <c r="F116" s="72"/>
      <c r="G116" s="72"/>
    </row>
    <row r="117" spans="1:7">
      <c r="A117" s="72"/>
      <c r="B117" s="72"/>
      <c r="C117" s="72"/>
      <c r="D117" s="72"/>
      <c r="E117" s="72"/>
      <c r="F117" s="72"/>
      <c r="G117" s="72"/>
    </row>
    <row r="118" spans="1:7">
      <c r="A118" s="72"/>
      <c r="B118" s="72"/>
      <c r="C118" s="72"/>
      <c r="D118" s="72"/>
      <c r="E118" s="72"/>
      <c r="F118" s="72"/>
      <c r="G118" s="72"/>
    </row>
    <row r="119" spans="1:7">
      <c r="A119" s="72"/>
      <c r="B119" s="72"/>
      <c r="C119" s="72"/>
      <c r="D119" s="72"/>
      <c r="E119" s="72"/>
      <c r="F119" s="72"/>
      <c r="G119" s="72"/>
    </row>
  </sheetData>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79C3-72E5-4398-95F7-F54C70A21346}">
  <dimension ref="A1:V57"/>
  <sheetViews>
    <sheetView topLeftCell="I31" zoomScale="123" workbookViewId="0">
      <selection activeCell="S41" sqref="S41"/>
    </sheetView>
  </sheetViews>
  <sheetFormatPr defaultColWidth="9" defaultRowHeight="15.6"/>
  <cols>
    <col min="1" max="1" width="24" style="272" customWidth="1"/>
    <col min="2" max="11" width="12.69921875" style="272" customWidth="1"/>
    <col min="12" max="12" width="9" style="272"/>
    <col min="13" max="13" width="21.69921875" style="272" customWidth="1"/>
    <col min="14" max="22" width="12.69921875" style="272" customWidth="1"/>
    <col min="23" max="16384" width="9" style="272"/>
  </cols>
  <sheetData>
    <row r="1" spans="1:22">
      <c r="A1" s="401" t="s">
        <v>157</v>
      </c>
      <c r="B1" s="272" t="s">
        <v>13</v>
      </c>
      <c r="C1" s="272" t="s">
        <v>14</v>
      </c>
      <c r="D1" s="272" t="s">
        <v>15</v>
      </c>
      <c r="E1" s="272" t="s">
        <v>16</v>
      </c>
      <c r="F1" s="272" t="s">
        <v>17</v>
      </c>
      <c r="G1" s="272" t="s">
        <v>18</v>
      </c>
      <c r="H1" s="272" t="s">
        <v>19</v>
      </c>
      <c r="I1" s="272" t="s">
        <v>20</v>
      </c>
    </row>
    <row r="2" spans="1:22">
      <c r="A2" s="272" t="s">
        <v>284</v>
      </c>
      <c r="B2" s="301" t="s">
        <v>37</v>
      </c>
      <c r="C2" s="301" t="s">
        <v>154</v>
      </c>
      <c r="D2" s="301" t="s">
        <v>155</v>
      </c>
      <c r="E2" s="301" t="s">
        <v>40</v>
      </c>
      <c r="F2" s="301" t="s">
        <v>41</v>
      </c>
      <c r="G2" s="301" t="s">
        <v>42</v>
      </c>
      <c r="H2" s="301" t="s">
        <v>43</v>
      </c>
      <c r="I2" s="301" t="s">
        <v>44</v>
      </c>
      <c r="J2" s="412" t="s">
        <v>162</v>
      </c>
      <c r="K2" s="272" t="s">
        <v>77</v>
      </c>
      <c r="L2" s="272" t="s">
        <v>153</v>
      </c>
      <c r="N2" s="401" t="s">
        <v>532</v>
      </c>
      <c r="O2" s="272" t="str">
        <f>B2</f>
        <v>Construction</v>
      </c>
      <c r="P2" s="272" t="str">
        <f t="shared" ref="P2:V2" si="0">C2</f>
        <v>Trans. Auto</v>
      </c>
      <c r="Q2" s="272" t="str">
        <f t="shared" si="0"/>
        <v>Trans. Other</v>
      </c>
      <c r="R2" s="272" t="str">
        <f t="shared" si="0"/>
        <v>Durables</v>
      </c>
      <c r="S2" s="272" t="str">
        <f t="shared" si="0"/>
        <v>Electrical</v>
      </c>
      <c r="T2" s="272" t="str">
        <f t="shared" si="0"/>
        <v>Machinery</v>
      </c>
      <c r="U2" s="272" t="str">
        <f t="shared" si="0"/>
        <v>Container</v>
      </c>
      <c r="V2" s="272" t="str">
        <f t="shared" si="0"/>
        <v>Other</v>
      </c>
    </row>
    <row r="3" spans="1:22">
      <c r="A3" s="272" t="s">
        <v>56</v>
      </c>
      <c r="B3" s="307">
        <v>1199</v>
      </c>
      <c r="C3" s="308">
        <f>1720</f>
        <v>1720</v>
      </c>
      <c r="D3" s="308">
        <f>2878-C3</f>
        <v>1158</v>
      </c>
      <c r="E3" s="308">
        <v>505</v>
      </c>
      <c r="F3" s="308">
        <v>324</v>
      </c>
      <c r="G3" s="308">
        <v>565</v>
      </c>
      <c r="H3" s="308">
        <v>4022</v>
      </c>
      <c r="I3" s="308">
        <v>63</v>
      </c>
      <c r="J3" s="413">
        <f>SUM(B3:I3)</f>
        <v>9556</v>
      </c>
      <c r="K3" s="308">
        <v>533</v>
      </c>
      <c r="L3" s="310">
        <f>SUM(J3:K3)</f>
        <v>10089</v>
      </c>
      <c r="N3" s="272" t="s">
        <v>56</v>
      </c>
      <c r="O3" s="411">
        <f>B3/B$10</f>
        <v>0.37645211930926215</v>
      </c>
      <c r="P3" s="411">
        <f t="shared" ref="P3:V9" si="1">C3/C$10</f>
        <v>0.34365634365634368</v>
      </c>
      <c r="Q3" s="411">
        <f t="shared" si="1"/>
        <v>0.44504227517294387</v>
      </c>
      <c r="R3" s="411">
        <f t="shared" si="1"/>
        <v>0.31602002503128912</v>
      </c>
      <c r="S3" s="411">
        <f t="shared" si="1"/>
        <v>0.16770186335403728</v>
      </c>
      <c r="T3" s="411">
        <f t="shared" si="1"/>
        <v>0.34015653220951236</v>
      </c>
      <c r="U3" s="411">
        <f t="shared" si="1"/>
        <v>0.80974431246225087</v>
      </c>
      <c r="V3" s="411">
        <f t="shared" si="1"/>
        <v>9.1703056768558958E-2</v>
      </c>
    </row>
    <row r="4" spans="1:22">
      <c r="A4" s="272" t="s">
        <v>278</v>
      </c>
      <c r="B4" s="311">
        <v>38</v>
      </c>
      <c r="C4" s="312">
        <v>70</v>
      </c>
      <c r="D4" s="312">
        <f>86-C4</f>
        <v>16</v>
      </c>
      <c r="E4" s="312">
        <v>254</v>
      </c>
      <c r="F4" s="312">
        <v>11</v>
      </c>
      <c r="G4" s="312">
        <v>5</v>
      </c>
      <c r="H4" s="312">
        <v>944</v>
      </c>
      <c r="I4" s="312">
        <v>2</v>
      </c>
      <c r="J4" s="414">
        <f t="shared" ref="J4:J9" si="2">SUM(B4:I4)</f>
        <v>1340</v>
      </c>
      <c r="K4" s="312">
        <v>99</v>
      </c>
      <c r="L4" s="314">
        <f t="shared" ref="L4:L10" si="3">SUM(J4:K4)</f>
        <v>1439</v>
      </c>
      <c r="N4" s="272" t="s">
        <v>278</v>
      </c>
      <c r="O4" s="411">
        <f t="shared" ref="O4:O9" si="4">B4/B$10</f>
        <v>1.1930926216640502E-2</v>
      </c>
      <c r="P4" s="411">
        <f t="shared" si="1"/>
        <v>1.3986013986013986E-2</v>
      </c>
      <c r="Q4" s="411">
        <f t="shared" si="1"/>
        <v>6.1491160645657187E-3</v>
      </c>
      <c r="R4" s="411">
        <f t="shared" si="1"/>
        <v>0.15894868585732166</v>
      </c>
      <c r="S4" s="411">
        <f t="shared" si="1"/>
        <v>5.693581780538302E-3</v>
      </c>
      <c r="T4" s="411">
        <f t="shared" si="1"/>
        <v>3.0102347983142685E-3</v>
      </c>
      <c r="U4" s="411">
        <f t="shared" si="1"/>
        <v>0.19005435876786791</v>
      </c>
      <c r="V4" s="411">
        <f t="shared" si="1"/>
        <v>2.911208151382824E-3</v>
      </c>
    </row>
    <row r="5" spans="1:22">
      <c r="A5" s="272" t="s">
        <v>57</v>
      </c>
      <c r="B5" s="311">
        <f>1884</f>
        <v>1884</v>
      </c>
      <c r="C5" s="312">
        <f>59+352+97</f>
        <v>508</v>
      </c>
      <c r="D5" s="312">
        <f>1354-C5</f>
        <v>846</v>
      </c>
      <c r="E5" s="312">
        <v>471</v>
      </c>
      <c r="F5" s="312">
        <v>470</v>
      </c>
      <c r="G5" s="312">
        <v>469</v>
      </c>
      <c r="H5" s="312">
        <v>0</v>
      </c>
      <c r="I5" s="312">
        <v>79</v>
      </c>
      <c r="J5" s="414">
        <f t="shared" si="2"/>
        <v>4727</v>
      </c>
      <c r="K5" s="312">
        <f>300+50</f>
        <v>350</v>
      </c>
      <c r="L5" s="314">
        <f t="shared" si="3"/>
        <v>5077</v>
      </c>
      <c r="N5" s="272" t="s">
        <v>57</v>
      </c>
      <c r="O5" s="411">
        <f t="shared" si="4"/>
        <v>0.59152276295133444</v>
      </c>
      <c r="P5" s="411">
        <f t="shared" si="1"/>
        <v>0.10149850149850149</v>
      </c>
      <c r="Q5" s="411">
        <f t="shared" si="1"/>
        <v>0.32513451191391235</v>
      </c>
      <c r="R5" s="411">
        <f t="shared" si="1"/>
        <v>0.29474342928660824</v>
      </c>
      <c r="S5" s="411">
        <f t="shared" si="1"/>
        <v>0.2432712215320911</v>
      </c>
      <c r="T5" s="411">
        <f t="shared" si="1"/>
        <v>0.28236002408187838</v>
      </c>
      <c r="U5" s="411">
        <f t="shared" si="1"/>
        <v>0</v>
      </c>
      <c r="V5" s="411">
        <f t="shared" si="1"/>
        <v>0.11499272197962154</v>
      </c>
    </row>
    <row r="6" spans="1:22">
      <c r="A6" s="272" t="s">
        <v>113</v>
      </c>
      <c r="B6" s="311">
        <v>28</v>
      </c>
      <c r="C6" s="312">
        <v>4</v>
      </c>
      <c r="D6" s="312">
        <f>18-C6</f>
        <v>14</v>
      </c>
      <c r="E6" s="312">
        <v>5</v>
      </c>
      <c r="F6" s="312">
        <f>11+460+436</f>
        <v>907</v>
      </c>
      <c r="G6" s="312">
        <v>14</v>
      </c>
      <c r="H6" s="312">
        <v>1</v>
      </c>
      <c r="I6" s="312">
        <v>5</v>
      </c>
      <c r="J6" s="414">
        <f t="shared" si="2"/>
        <v>978</v>
      </c>
      <c r="K6" s="312">
        <f>17+1</f>
        <v>18</v>
      </c>
      <c r="L6" s="314">
        <f t="shared" si="3"/>
        <v>996</v>
      </c>
      <c r="N6" s="272" t="s">
        <v>113</v>
      </c>
      <c r="O6" s="411">
        <f t="shared" si="4"/>
        <v>8.7912087912087912E-3</v>
      </c>
      <c r="P6" s="411">
        <f t="shared" si="1"/>
        <v>7.992007992007992E-4</v>
      </c>
      <c r="Q6" s="411">
        <f t="shared" si="1"/>
        <v>5.3804765564950041E-3</v>
      </c>
      <c r="R6" s="411">
        <f t="shared" si="1"/>
        <v>3.1289111389236545E-3</v>
      </c>
      <c r="S6" s="411">
        <f t="shared" si="1"/>
        <v>0.46946169772256729</v>
      </c>
      <c r="T6" s="411">
        <f t="shared" si="1"/>
        <v>8.4286574352799518E-3</v>
      </c>
      <c r="U6" s="411">
        <f t="shared" si="1"/>
        <v>2.0132876988121604E-4</v>
      </c>
      <c r="V6" s="411">
        <f t="shared" si="1"/>
        <v>7.2780203784570596E-3</v>
      </c>
    </row>
    <row r="7" spans="1:22">
      <c r="A7" s="272" t="s">
        <v>280</v>
      </c>
      <c r="B7" s="311">
        <v>0</v>
      </c>
      <c r="C7" s="312">
        <v>73</v>
      </c>
      <c r="D7" s="312">
        <f>214-C7</f>
        <v>141</v>
      </c>
      <c r="E7" s="312">
        <v>18</v>
      </c>
      <c r="F7" s="312">
        <v>1</v>
      </c>
      <c r="G7" s="312">
        <v>10</v>
      </c>
      <c r="H7" s="312">
        <v>0</v>
      </c>
      <c r="I7" s="312">
        <v>7</v>
      </c>
      <c r="J7" s="414">
        <f t="shared" si="2"/>
        <v>250</v>
      </c>
      <c r="K7" s="312">
        <v>16</v>
      </c>
      <c r="L7" s="314">
        <f t="shared" si="3"/>
        <v>266</v>
      </c>
      <c r="N7" s="272" t="s">
        <v>280</v>
      </c>
      <c r="O7" s="411">
        <f t="shared" si="4"/>
        <v>0</v>
      </c>
      <c r="P7" s="411">
        <f t="shared" si="1"/>
        <v>1.4585414585414586E-2</v>
      </c>
      <c r="Q7" s="411">
        <f t="shared" si="1"/>
        <v>5.4189085318985399E-2</v>
      </c>
      <c r="R7" s="411">
        <f t="shared" si="1"/>
        <v>1.1264080100125156E-2</v>
      </c>
      <c r="S7" s="411">
        <f t="shared" si="1"/>
        <v>5.1759834368530024E-4</v>
      </c>
      <c r="T7" s="411">
        <f t="shared" si="1"/>
        <v>6.020469596628537E-3</v>
      </c>
      <c r="U7" s="411">
        <f t="shared" si="1"/>
        <v>0</v>
      </c>
      <c r="V7" s="411">
        <f t="shared" si="1"/>
        <v>1.0189228529839884E-2</v>
      </c>
    </row>
    <row r="8" spans="1:22">
      <c r="A8" s="272" t="s">
        <v>281</v>
      </c>
      <c r="B8" s="311">
        <v>0</v>
      </c>
      <c r="C8" s="312">
        <v>0</v>
      </c>
      <c r="D8" s="312">
        <v>0</v>
      </c>
      <c r="E8" s="312">
        <v>0</v>
      </c>
      <c r="F8" s="312">
        <v>0</v>
      </c>
      <c r="G8" s="312">
        <v>0</v>
      </c>
      <c r="H8" s="312">
        <v>0</v>
      </c>
      <c r="I8" s="312">
        <v>101</v>
      </c>
      <c r="J8" s="414">
        <f t="shared" si="2"/>
        <v>101</v>
      </c>
      <c r="K8" s="312">
        <v>11</v>
      </c>
      <c r="L8" s="314">
        <f t="shared" si="3"/>
        <v>112</v>
      </c>
      <c r="N8" s="272" t="s">
        <v>281</v>
      </c>
      <c r="O8" s="411">
        <f t="shared" si="4"/>
        <v>0</v>
      </c>
      <c r="P8" s="411">
        <f t="shared" si="1"/>
        <v>0</v>
      </c>
      <c r="Q8" s="411">
        <f t="shared" si="1"/>
        <v>0</v>
      </c>
      <c r="R8" s="411">
        <f t="shared" si="1"/>
        <v>0</v>
      </c>
      <c r="S8" s="411">
        <f t="shared" si="1"/>
        <v>0</v>
      </c>
      <c r="T8" s="411">
        <f t="shared" si="1"/>
        <v>0</v>
      </c>
      <c r="U8" s="411">
        <f t="shared" si="1"/>
        <v>0</v>
      </c>
      <c r="V8" s="411">
        <f t="shared" si="1"/>
        <v>0.14701601164483261</v>
      </c>
    </row>
    <row r="9" spans="1:22">
      <c r="A9" s="272" t="s">
        <v>279</v>
      </c>
      <c r="B9" s="311">
        <v>36</v>
      </c>
      <c r="C9" s="312">
        <v>2630</v>
      </c>
      <c r="D9" s="312">
        <f>3057-C9</f>
        <v>427</v>
      </c>
      <c r="E9" s="312">
        <v>345</v>
      </c>
      <c r="F9" s="312">
        <v>219</v>
      </c>
      <c r="G9" s="312">
        <v>598</v>
      </c>
      <c r="H9" s="312">
        <v>0</v>
      </c>
      <c r="I9" s="312">
        <v>430</v>
      </c>
      <c r="J9" s="414">
        <f t="shared" si="2"/>
        <v>4685</v>
      </c>
      <c r="K9" s="312">
        <v>1736</v>
      </c>
      <c r="L9" s="314">
        <f t="shared" si="3"/>
        <v>6421</v>
      </c>
      <c r="N9" s="272" t="s">
        <v>279</v>
      </c>
      <c r="O9" s="411">
        <f t="shared" si="4"/>
        <v>1.1302982731554161E-2</v>
      </c>
      <c r="P9" s="411">
        <f t="shared" si="1"/>
        <v>0.52547452547452544</v>
      </c>
      <c r="Q9" s="411">
        <f t="shared" si="1"/>
        <v>0.16410453497309763</v>
      </c>
      <c r="R9" s="411">
        <f t="shared" si="1"/>
        <v>0.21589486858573217</v>
      </c>
      <c r="S9" s="411">
        <f t="shared" si="1"/>
        <v>0.11335403726708075</v>
      </c>
      <c r="T9" s="411">
        <f t="shared" si="1"/>
        <v>0.36002408187838653</v>
      </c>
      <c r="U9" s="411">
        <f t="shared" si="1"/>
        <v>0</v>
      </c>
      <c r="V9" s="411">
        <f t="shared" si="1"/>
        <v>0.62590975254730719</v>
      </c>
    </row>
    <row r="10" spans="1:22">
      <c r="A10" s="272" t="s">
        <v>153</v>
      </c>
      <c r="B10" s="315">
        <f>SUM(B3:B9)</f>
        <v>3185</v>
      </c>
      <c r="C10" s="316">
        <f t="shared" ref="C10:I10" si="5">SUM(C3:C9)</f>
        <v>5005</v>
      </c>
      <c r="D10" s="316">
        <f t="shared" si="5"/>
        <v>2602</v>
      </c>
      <c r="E10" s="316">
        <f t="shared" si="5"/>
        <v>1598</v>
      </c>
      <c r="F10" s="316">
        <f t="shared" si="5"/>
        <v>1932</v>
      </c>
      <c r="G10" s="316">
        <f t="shared" si="5"/>
        <v>1661</v>
      </c>
      <c r="H10" s="316">
        <f t="shared" si="5"/>
        <v>4967</v>
      </c>
      <c r="I10" s="316">
        <f t="shared" si="5"/>
        <v>687</v>
      </c>
      <c r="J10" s="415">
        <f>SUM(J3:J9)</f>
        <v>21637</v>
      </c>
      <c r="K10" s="316">
        <f>SUM(K3:K9)</f>
        <v>2763</v>
      </c>
      <c r="L10" s="317">
        <f t="shared" si="3"/>
        <v>24400</v>
      </c>
      <c r="O10" s="303">
        <f>SUM(O3:O9)</f>
        <v>1</v>
      </c>
      <c r="P10" s="303">
        <f t="shared" ref="P10:V10" si="6">SUM(P3:P9)</f>
        <v>1</v>
      </c>
      <c r="Q10" s="303">
        <f t="shared" si="6"/>
        <v>0.99999999999999989</v>
      </c>
      <c r="R10" s="303">
        <f t="shared" si="6"/>
        <v>1</v>
      </c>
      <c r="S10" s="303">
        <f t="shared" si="6"/>
        <v>0.99999999999999989</v>
      </c>
      <c r="T10" s="303">
        <f t="shared" si="6"/>
        <v>1</v>
      </c>
      <c r="U10" s="303">
        <f t="shared" si="6"/>
        <v>1</v>
      </c>
      <c r="V10" s="303">
        <f t="shared" si="6"/>
        <v>1</v>
      </c>
    </row>
    <row r="11" spans="1:22">
      <c r="J11" s="272">
        <f>SUM(B10:I10)</f>
        <v>21637</v>
      </c>
      <c r="L11" s="272">
        <f>SUM(J3:K9)</f>
        <v>24400</v>
      </c>
    </row>
    <row r="12" spans="1:22">
      <c r="K12" s="272" t="s">
        <v>286</v>
      </c>
      <c r="N12" s="401"/>
      <c r="O12" s="272" t="str">
        <f>O2</f>
        <v>Construction</v>
      </c>
      <c r="P12" s="272" t="str">
        <f t="shared" ref="P12:V12" si="7">P2</f>
        <v>Trans. Auto</v>
      </c>
      <c r="Q12" s="272" t="str">
        <f t="shared" si="7"/>
        <v>Trans. Other</v>
      </c>
      <c r="R12" s="272" t="str">
        <f t="shared" si="7"/>
        <v>Durables</v>
      </c>
      <c r="S12" s="272" t="str">
        <f t="shared" si="7"/>
        <v>Electrical</v>
      </c>
      <c r="T12" s="272" t="str">
        <f t="shared" si="7"/>
        <v>Machinery</v>
      </c>
      <c r="U12" s="272" t="str">
        <f t="shared" si="7"/>
        <v>Container</v>
      </c>
      <c r="V12" s="272" t="str">
        <f t="shared" si="7"/>
        <v>Other</v>
      </c>
    </row>
    <row r="13" spans="1:22">
      <c r="A13" s="272" t="s">
        <v>285</v>
      </c>
      <c r="B13" s="272" t="str">
        <f>B2</f>
        <v>Construction</v>
      </c>
      <c r="C13" s="272" t="str">
        <f t="shared" ref="C13:I13" si="8">C2</f>
        <v>Trans. Auto</v>
      </c>
      <c r="D13" s="272" t="str">
        <f t="shared" si="8"/>
        <v>Trans. Other</v>
      </c>
      <c r="E13" s="272" t="str">
        <f t="shared" si="8"/>
        <v>Durables</v>
      </c>
      <c r="F13" s="272" t="str">
        <f t="shared" si="8"/>
        <v>Electrical</v>
      </c>
      <c r="G13" s="272" t="str">
        <f t="shared" si="8"/>
        <v>Machinery</v>
      </c>
      <c r="H13" s="272" t="str">
        <f t="shared" si="8"/>
        <v>Container</v>
      </c>
      <c r="I13" s="272" t="str">
        <f t="shared" si="8"/>
        <v>Other</v>
      </c>
      <c r="J13" s="272" t="s">
        <v>153</v>
      </c>
      <c r="K13" s="272">
        <f>331449281/(331449281+38526760)</f>
        <v>0.89586687857984837</v>
      </c>
      <c r="N13" s="272" t="s">
        <v>28</v>
      </c>
      <c r="O13" s="272" t="s">
        <v>13</v>
      </c>
      <c r="P13" s="272" t="s">
        <v>14</v>
      </c>
      <c r="Q13" s="272" t="s">
        <v>15</v>
      </c>
      <c r="R13" s="272" t="s">
        <v>16</v>
      </c>
      <c r="S13" s="272" t="s">
        <v>17</v>
      </c>
      <c r="T13" s="272" t="s">
        <v>18</v>
      </c>
      <c r="U13" s="272" t="s">
        <v>19</v>
      </c>
      <c r="V13" s="272" t="s">
        <v>20</v>
      </c>
    </row>
    <row r="14" spans="1:22">
      <c r="A14" s="272" t="s">
        <v>56</v>
      </c>
      <c r="B14" s="318">
        <f t="shared" ref="B14:I20" si="9">B3*0.453592*$K$13</f>
        <v>487.22330097735988</v>
      </c>
      <c r="C14" s="309">
        <f t="shared" si="9"/>
        <v>698.93584460471982</v>
      </c>
      <c r="D14" s="309">
        <f t="shared" si="9"/>
        <v>470.56262096061954</v>
      </c>
      <c r="E14" s="309">
        <f t="shared" si="9"/>
        <v>205.21081484033925</v>
      </c>
      <c r="F14" s="309">
        <f t="shared" si="9"/>
        <v>131.66000793716816</v>
      </c>
      <c r="G14" s="309">
        <f t="shared" si="9"/>
        <v>229.59229779166665</v>
      </c>
      <c r="H14" s="309">
        <f t="shared" si="9"/>
        <v>1634.3720738373156</v>
      </c>
      <c r="I14" s="309">
        <f t="shared" si="9"/>
        <v>25.600557098893805</v>
      </c>
      <c r="J14" s="319">
        <f>SUM(B14:I14)</f>
        <v>3883.1575180480822</v>
      </c>
      <c r="M14" s="272" t="s">
        <v>152</v>
      </c>
      <c r="N14" s="272" t="s">
        <v>7</v>
      </c>
      <c r="O14" s="302">
        <f>O3+O4</f>
        <v>0.38838304552590264</v>
      </c>
      <c r="P14" s="302">
        <f t="shared" ref="P14:V14" si="10">P3+P4</f>
        <v>0.35764235764235769</v>
      </c>
      <c r="Q14" s="302">
        <f t="shared" si="10"/>
        <v>0.45119139123750956</v>
      </c>
      <c r="R14" s="302">
        <f t="shared" si="10"/>
        <v>0.47496871088861081</v>
      </c>
      <c r="S14" s="302">
        <f t="shared" si="10"/>
        <v>0.17339544513457558</v>
      </c>
      <c r="T14" s="302">
        <f t="shared" si="10"/>
        <v>0.34316676700782661</v>
      </c>
      <c r="U14" s="302">
        <f t="shared" si="10"/>
        <v>0.99979867123011879</v>
      </c>
      <c r="V14" s="302">
        <f t="shared" si="10"/>
        <v>9.4614264919941779E-2</v>
      </c>
    </row>
    <row r="15" spans="1:22">
      <c r="A15" s="272" t="s">
        <v>278</v>
      </c>
      <c r="B15" s="320">
        <f t="shared" si="9"/>
        <v>15.44160586917404</v>
      </c>
      <c r="C15" s="313">
        <f t="shared" si="9"/>
        <v>28.445063443215339</v>
      </c>
      <c r="D15" s="313">
        <f t="shared" si="9"/>
        <v>6.5017287870206495</v>
      </c>
      <c r="E15" s="313">
        <f t="shared" si="9"/>
        <v>103.2149444939528</v>
      </c>
      <c r="F15" s="313">
        <f t="shared" si="9"/>
        <v>4.4699385410766963</v>
      </c>
      <c r="G15" s="313">
        <f t="shared" si="9"/>
        <v>2.0317902459439527</v>
      </c>
      <c r="H15" s="313">
        <f t="shared" si="9"/>
        <v>383.60199843421833</v>
      </c>
      <c r="I15" s="313">
        <f t="shared" si="9"/>
        <v>0.81271609837758119</v>
      </c>
      <c r="J15" s="321">
        <f t="shared" ref="J15:J21" si="11">SUM(B15:I15)</f>
        <v>544.51978591297939</v>
      </c>
      <c r="M15" s="272" t="s">
        <v>57</v>
      </c>
      <c r="N15" s="272" t="s">
        <v>8</v>
      </c>
      <c r="O15" s="404">
        <f>O5</f>
        <v>0.59152276295133444</v>
      </c>
      <c r="P15" s="404">
        <f t="shared" ref="P15:V15" si="12">P5</f>
        <v>0.10149850149850149</v>
      </c>
      <c r="Q15" s="404">
        <f t="shared" si="12"/>
        <v>0.32513451191391235</v>
      </c>
      <c r="R15" s="404">
        <f t="shared" si="12"/>
        <v>0.29474342928660824</v>
      </c>
      <c r="S15" s="404">
        <f t="shared" si="12"/>
        <v>0.2432712215320911</v>
      </c>
      <c r="T15" s="404">
        <f t="shared" si="12"/>
        <v>0.28236002408187838</v>
      </c>
      <c r="U15" s="404">
        <f t="shared" si="12"/>
        <v>0</v>
      </c>
      <c r="V15" s="404">
        <f t="shared" si="12"/>
        <v>0.11499272197962154</v>
      </c>
    </row>
    <row r="16" spans="1:22">
      <c r="A16" s="272" t="s">
        <v>57</v>
      </c>
      <c r="B16" s="320">
        <f t="shared" si="9"/>
        <v>765.57856467168142</v>
      </c>
      <c r="C16" s="313">
        <f t="shared" si="9"/>
        <v>206.4298889879056</v>
      </c>
      <c r="D16" s="313">
        <f t="shared" si="9"/>
        <v>343.77890961371685</v>
      </c>
      <c r="E16" s="313">
        <f t="shared" si="9"/>
        <v>191.39464116792035</v>
      </c>
      <c r="F16" s="313">
        <f t="shared" si="9"/>
        <v>190.98828311873157</v>
      </c>
      <c r="G16" s="313">
        <f t="shared" si="9"/>
        <v>190.58192506954276</v>
      </c>
      <c r="H16" s="313">
        <f t="shared" si="9"/>
        <v>0</v>
      </c>
      <c r="I16" s="313">
        <f t="shared" si="9"/>
        <v>32.102285885914455</v>
      </c>
      <c r="J16" s="321">
        <f t="shared" si="11"/>
        <v>1920.8544985154128</v>
      </c>
      <c r="M16" s="272" t="s">
        <v>113</v>
      </c>
      <c r="N16" s="272" t="s">
        <v>9</v>
      </c>
      <c r="O16" s="404">
        <f>O6</f>
        <v>8.7912087912087912E-3</v>
      </c>
      <c r="P16" s="404">
        <f t="shared" ref="P16:V16" si="13">P6</f>
        <v>7.992007992007992E-4</v>
      </c>
      <c r="Q16" s="404">
        <f t="shared" si="13"/>
        <v>5.3804765564950041E-3</v>
      </c>
      <c r="R16" s="404">
        <f t="shared" si="13"/>
        <v>3.1289111389236545E-3</v>
      </c>
      <c r="S16" s="404">
        <f t="shared" si="13"/>
        <v>0.46946169772256729</v>
      </c>
      <c r="T16" s="404">
        <f t="shared" si="13"/>
        <v>8.4286574352799518E-3</v>
      </c>
      <c r="U16" s="404">
        <f t="shared" si="13"/>
        <v>2.0132876988121604E-4</v>
      </c>
      <c r="V16" s="404">
        <f t="shared" si="13"/>
        <v>7.2780203784570596E-3</v>
      </c>
    </row>
    <row r="17" spans="1:22">
      <c r="A17" s="272" t="s">
        <v>113</v>
      </c>
      <c r="B17" s="320">
        <f t="shared" si="9"/>
        <v>11.378025377286136</v>
      </c>
      <c r="C17" s="313">
        <f t="shared" si="9"/>
        <v>1.6254321967551624</v>
      </c>
      <c r="D17" s="313">
        <f t="shared" si="9"/>
        <v>5.6890126886430679</v>
      </c>
      <c r="E17" s="313">
        <f t="shared" si="9"/>
        <v>2.0317902459439527</v>
      </c>
      <c r="F17" s="313">
        <f t="shared" si="9"/>
        <v>368.56675061423306</v>
      </c>
      <c r="G17" s="313">
        <f t="shared" si="9"/>
        <v>5.6890126886430679</v>
      </c>
      <c r="H17" s="313">
        <f t="shared" si="9"/>
        <v>0.40635804918879059</v>
      </c>
      <c r="I17" s="313">
        <f t="shared" si="9"/>
        <v>2.0317902459439527</v>
      </c>
      <c r="J17" s="321">
        <f t="shared" si="11"/>
        <v>397.4181721066372</v>
      </c>
      <c r="M17" s="272" t="s">
        <v>141</v>
      </c>
      <c r="N17" s="272" t="s">
        <v>78</v>
      </c>
      <c r="O17" s="302">
        <f>O7+O8</f>
        <v>0</v>
      </c>
      <c r="P17" s="302">
        <f t="shared" ref="P17:V17" si="14">P7+P8</f>
        <v>1.4585414585414586E-2</v>
      </c>
      <c r="Q17" s="302">
        <f t="shared" si="14"/>
        <v>5.4189085318985399E-2</v>
      </c>
      <c r="R17" s="302">
        <f t="shared" si="14"/>
        <v>1.1264080100125156E-2</v>
      </c>
      <c r="S17" s="302">
        <f t="shared" si="14"/>
        <v>5.1759834368530024E-4</v>
      </c>
      <c r="T17" s="302">
        <f t="shared" si="14"/>
        <v>6.020469596628537E-3</v>
      </c>
      <c r="U17" s="302">
        <f t="shared" si="14"/>
        <v>0</v>
      </c>
      <c r="V17" s="302">
        <f t="shared" si="14"/>
        <v>0.15720524017467249</v>
      </c>
    </row>
    <row r="18" spans="1:22">
      <c r="A18" s="272" t="s">
        <v>280</v>
      </c>
      <c r="B18" s="320">
        <f t="shared" si="9"/>
        <v>0</v>
      </c>
      <c r="C18" s="313">
        <f t="shared" si="9"/>
        <v>29.66413759078171</v>
      </c>
      <c r="D18" s="313">
        <f t="shared" si="9"/>
        <v>57.296484935619468</v>
      </c>
      <c r="E18" s="313">
        <f t="shared" si="9"/>
        <v>7.3144448853982311</v>
      </c>
      <c r="F18" s="313">
        <f t="shared" si="9"/>
        <v>0.40635804918879059</v>
      </c>
      <c r="G18" s="313">
        <f t="shared" si="9"/>
        <v>4.0635804918879055</v>
      </c>
      <c r="H18" s="313">
        <f t="shared" si="9"/>
        <v>0</v>
      </c>
      <c r="I18" s="313">
        <f t="shared" si="9"/>
        <v>2.8445063443215339</v>
      </c>
      <c r="J18" s="321">
        <f t="shared" si="11"/>
        <v>101.58951229719764</v>
      </c>
      <c r="L18" s="306">
        <f>Raw!L47</f>
        <v>0.50010897039824753</v>
      </c>
      <c r="M18" s="272" t="s">
        <v>149</v>
      </c>
      <c r="N18" s="272" t="s">
        <v>10</v>
      </c>
      <c r="O18" s="302">
        <f>O$9*$L18</f>
        <v>5.6527230563067224E-3</v>
      </c>
      <c r="P18" s="302">
        <f t="shared" ref="P18:V20" si="15">P$9*$L18</f>
        <v>0.26279452390557262</v>
      </c>
      <c r="Q18" s="302">
        <f t="shared" si="15"/>
        <v>8.2070150023079061E-2</v>
      </c>
      <c r="R18" s="302">
        <f t="shared" si="15"/>
        <v>0.10797096044267547</v>
      </c>
      <c r="S18" s="302">
        <f t="shared" si="15"/>
        <v>5.6689370868124332E-2</v>
      </c>
      <c r="T18" s="302">
        <f t="shared" si="15"/>
        <v>0.18005127290677425</v>
      </c>
      <c r="U18" s="302">
        <f t="shared" si="15"/>
        <v>0</v>
      </c>
      <c r="V18" s="302">
        <f t="shared" si="15"/>
        <v>0.31302308190865569</v>
      </c>
    </row>
    <row r="19" spans="1:22">
      <c r="A19" s="272" t="s">
        <v>281</v>
      </c>
      <c r="B19" s="320">
        <f t="shared" si="9"/>
        <v>0</v>
      </c>
      <c r="C19" s="313">
        <f t="shared" si="9"/>
        <v>0</v>
      </c>
      <c r="D19" s="313">
        <f t="shared" si="9"/>
        <v>0</v>
      </c>
      <c r="E19" s="313">
        <f t="shared" si="9"/>
        <v>0</v>
      </c>
      <c r="F19" s="313">
        <f t="shared" si="9"/>
        <v>0</v>
      </c>
      <c r="G19" s="313">
        <f t="shared" si="9"/>
        <v>0</v>
      </c>
      <c r="H19" s="313">
        <f t="shared" si="9"/>
        <v>0</v>
      </c>
      <c r="I19" s="313">
        <f t="shared" si="9"/>
        <v>41.042162968067849</v>
      </c>
      <c r="J19" s="321">
        <f t="shared" si="11"/>
        <v>41.042162968067849</v>
      </c>
      <c r="L19" s="306">
        <f>Raw!L48</f>
        <v>0.34298863487427211</v>
      </c>
      <c r="M19" s="272" t="s">
        <v>115</v>
      </c>
      <c r="N19" s="272" t="s">
        <v>11</v>
      </c>
      <c r="O19" s="302">
        <f>O$9*$L19</f>
        <v>3.8767946171032329E-3</v>
      </c>
      <c r="P19" s="302">
        <f t="shared" si="15"/>
        <v>0.18023179015371341</v>
      </c>
      <c r="Q19" s="302">
        <f t="shared" si="15"/>
        <v>5.6285990427100002E-2</v>
      </c>
      <c r="R19" s="302">
        <f t="shared" si="15"/>
        <v>7.4049486252580649E-2</v>
      </c>
      <c r="S19" s="302">
        <f t="shared" si="15"/>
        <v>3.8879146499723391E-2</v>
      </c>
      <c r="T19" s="302">
        <f t="shared" si="15"/>
        <v>0.12348416836533097</v>
      </c>
      <c r="U19" s="302">
        <f t="shared" si="15"/>
        <v>0</v>
      </c>
      <c r="V19" s="302">
        <f t="shared" si="15"/>
        <v>0.21467993158069434</v>
      </c>
    </row>
    <row r="20" spans="1:22">
      <c r="A20" s="272" t="s">
        <v>279</v>
      </c>
      <c r="B20" s="320">
        <f t="shared" si="9"/>
        <v>14.628889770796462</v>
      </c>
      <c r="C20" s="313">
        <f t="shared" si="9"/>
        <v>1068.7216693665191</v>
      </c>
      <c r="D20" s="313">
        <f t="shared" si="9"/>
        <v>173.51488700361358</v>
      </c>
      <c r="E20" s="313">
        <f t="shared" si="9"/>
        <v>140.19352697013275</v>
      </c>
      <c r="F20" s="313">
        <f t="shared" si="9"/>
        <v>88.992412772345133</v>
      </c>
      <c r="G20" s="313">
        <f t="shared" si="9"/>
        <v>243.00211341489677</v>
      </c>
      <c r="H20" s="313">
        <f t="shared" si="9"/>
        <v>0</v>
      </c>
      <c r="I20" s="313">
        <f t="shared" si="9"/>
        <v>174.73396115117995</v>
      </c>
      <c r="J20" s="321">
        <f t="shared" si="11"/>
        <v>1903.7874604494839</v>
      </c>
      <c r="L20" s="306">
        <f>Raw!L49</f>
        <v>0.15690239472748033</v>
      </c>
      <c r="M20" s="272" t="s">
        <v>148</v>
      </c>
      <c r="N20" s="272" t="s">
        <v>12</v>
      </c>
      <c r="O20" s="302">
        <f>O$9*$L20</f>
        <v>1.7734650581442046E-3</v>
      </c>
      <c r="P20" s="302">
        <f t="shared" si="15"/>
        <v>8.2448211415239406E-2</v>
      </c>
      <c r="Q20" s="302">
        <f t="shared" si="15"/>
        <v>2.5748394522918563E-2</v>
      </c>
      <c r="R20" s="302">
        <f t="shared" si="15"/>
        <v>3.3874421890476042E-2</v>
      </c>
      <c r="S20" s="302">
        <f t="shared" si="15"/>
        <v>1.7785519899233021E-2</v>
      </c>
      <c r="T20" s="302">
        <f t="shared" si="15"/>
        <v>5.6488640606281303E-2</v>
      </c>
      <c r="U20" s="302">
        <f t="shared" si="15"/>
        <v>0</v>
      </c>
      <c r="V20" s="302">
        <f t="shared" si="15"/>
        <v>9.8206739057957126E-2</v>
      </c>
    </row>
    <row r="21" spans="1:22">
      <c r="A21" s="272" t="str">
        <f>A10</f>
        <v>Total</v>
      </c>
      <c r="B21" s="315">
        <f>SUM(B14:B20)</f>
        <v>1294.2503866662978</v>
      </c>
      <c r="C21" s="316">
        <f t="shared" ref="C21:I21" si="16">SUM(C14:C20)</f>
        <v>2033.8220361898966</v>
      </c>
      <c r="D21" s="316">
        <f t="shared" si="16"/>
        <v>1057.343643989233</v>
      </c>
      <c r="E21" s="316">
        <f t="shared" si="16"/>
        <v>649.36016260368729</v>
      </c>
      <c r="F21" s="316">
        <f t="shared" si="16"/>
        <v>785.08375103274341</v>
      </c>
      <c r="G21" s="316">
        <f t="shared" si="16"/>
        <v>674.96071970258117</v>
      </c>
      <c r="H21" s="316">
        <f t="shared" si="16"/>
        <v>2018.3804303207228</v>
      </c>
      <c r="I21" s="316">
        <f t="shared" si="16"/>
        <v>279.16797979269916</v>
      </c>
      <c r="J21" s="317">
        <f t="shared" si="11"/>
        <v>8792.3691102978628</v>
      </c>
      <c r="O21" s="577">
        <f>SUM(O14:O20)</f>
        <v>1</v>
      </c>
      <c r="P21" s="577">
        <f t="shared" ref="P21:V21" si="17">SUM(P14:P20)</f>
        <v>1</v>
      </c>
      <c r="Q21" s="577">
        <f t="shared" si="17"/>
        <v>0.99999999999999989</v>
      </c>
      <c r="R21" s="577">
        <f t="shared" si="17"/>
        <v>1</v>
      </c>
      <c r="S21" s="577">
        <f t="shared" si="17"/>
        <v>0.99999999999999989</v>
      </c>
      <c r="T21" s="577">
        <f t="shared" si="17"/>
        <v>1</v>
      </c>
      <c r="U21" s="577">
        <f t="shared" si="17"/>
        <v>1</v>
      </c>
      <c r="V21" s="577">
        <f t="shared" si="17"/>
        <v>1</v>
      </c>
    </row>
    <row r="24" spans="1:22">
      <c r="A24" s="401" t="s">
        <v>533</v>
      </c>
      <c r="B24" s="272" t="str">
        <f t="shared" ref="B24:I24" si="18">B2</f>
        <v>Construction</v>
      </c>
      <c r="C24" s="272" t="str">
        <f t="shared" si="18"/>
        <v>Trans. Auto</v>
      </c>
      <c r="D24" s="272" t="str">
        <f t="shared" si="18"/>
        <v>Trans. Other</v>
      </c>
      <c r="E24" s="272" t="str">
        <f t="shared" si="18"/>
        <v>Durables</v>
      </c>
      <c r="F24" s="272" t="str">
        <f t="shared" si="18"/>
        <v>Electrical</v>
      </c>
      <c r="G24" s="272" t="str">
        <f t="shared" si="18"/>
        <v>Machinery</v>
      </c>
      <c r="H24" s="272" t="str">
        <f t="shared" si="18"/>
        <v>Container</v>
      </c>
      <c r="I24" s="272" t="str">
        <f t="shared" si="18"/>
        <v>Other</v>
      </c>
      <c r="M24" s="401"/>
      <c r="N24" s="401"/>
      <c r="O24" s="272" t="str">
        <f>O2</f>
        <v>Construction</v>
      </c>
      <c r="P24" s="272" t="str">
        <f t="shared" ref="P24:V24" si="19">P2</f>
        <v>Trans. Auto</v>
      </c>
      <c r="Q24" s="272" t="str">
        <f t="shared" si="19"/>
        <v>Trans. Other</v>
      </c>
      <c r="R24" s="272" t="str">
        <f t="shared" si="19"/>
        <v>Durables</v>
      </c>
      <c r="S24" s="272" t="str">
        <f t="shared" si="19"/>
        <v>Electrical</v>
      </c>
      <c r="T24" s="272" t="str">
        <f t="shared" si="19"/>
        <v>Machinery</v>
      </c>
      <c r="U24" s="272" t="str">
        <f t="shared" si="19"/>
        <v>Container</v>
      </c>
      <c r="V24" s="272" t="str">
        <f t="shared" si="19"/>
        <v>Other</v>
      </c>
    </row>
    <row r="25" spans="1:22">
      <c r="A25" s="272" t="str">
        <f>A14</f>
        <v>Sheet</v>
      </c>
      <c r="B25" s="653">
        <f>5/6</f>
        <v>0.83333333333333337</v>
      </c>
      <c r="C25" s="654">
        <f>0.657894736842105</f>
        <v>0.65789473684210498</v>
      </c>
      <c r="D25" s="654">
        <v>0.65789473684210498</v>
      </c>
      <c r="E25" s="654">
        <v>0.76923076923076905</v>
      </c>
      <c r="F25" s="654">
        <v>0.76923076923076905</v>
      </c>
      <c r="G25" s="654">
        <v>0.76923076923076905</v>
      </c>
      <c r="H25" s="654">
        <v>0.826446280991736</v>
      </c>
      <c r="I25" s="655">
        <v>0.76923076923076905</v>
      </c>
      <c r="M25" s="272" t="s">
        <v>283</v>
      </c>
      <c r="N25" s="272" t="s">
        <v>28</v>
      </c>
      <c r="O25" s="272" t="s">
        <v>13</v>
      </c>
      <c r="P25" s="272" t="s">
        <v>14</v>
      </c>
      <c r="Q25" s="272" t="s">
        <v>15</v>
      </c>
      <c r="R25" s="272" t="s">
        <v>16</v>
      </c>
      <c r="S25" s="272" t="s">
        <v>17</v>
      </c>
      <c r="T25" s="272" t="s">
        <v>18</v>
      </c>
      <c r="U25" s="272" t="s">
        <v>19</v>
      </c>
      <c r="V25" s="272" t="s">
        <v>20</v>
      </c>
    </row>
    <row r="26" spans="1:22">
      <c r="A26" s="272" t="str">
        <f t="shared" ref="A26:A31" si="20">A15</f>
        <v>Foil</v>
      </c>
      <c r="B26" s="656">
        <f>10/11</f>
        <v>0.90909090909090906</v>
      </c>
      <c r="C26" s="663">
        <f>5/6</f>
        <v>0.83333333333333337</v>
      </c>
      <c r="D26" s="663">
        <f>5/6</f>
        <v>0.83333333333333337</v>
      </c>
      <c r="E26" s="663">
        <f>5/6</f>
        <v>0.83333333333333337</v>
      </c>
      <c r="F26" s="663">
        <f>5/6</f>
        <v>0.83333333333333337</v>
      </c>
      <c r="G26" s="663">
        <f>5/6</f>
        <v>0.83333333333333337</v>
      </c>
      <c r="H26" s="663">
        <f>10/11</f>
        <v>0.90909090909090906</v>
      </c>
      <c r="I26" s="657">
        <f>5/6</f>
        <v>0.83333333333333337</v>
      </c>
      <c r="M26" s="272" t="s">
        <v>152</v>
      </c>
      <c r="N26" s="272" t="s">
        <v>7</v>
      </c>
      <c r="O26" s="304">
        <f>(B14*B25+B15*B26)/(B14+B15)</f>
        <v>0.83566056686509393</v>
      </c>
      <c r="P26" s="304">
        <f>(C14*C25+C15*C26)/(C14+C15)</f>
        <v>0.66475546407919206</v>
      </c>
      <c r="Q26" s="304">
        <f t="shared" ref="Q26:V26" si="21">(D14*D25+D15*D26)/(D14+D15)</f>
        <v>0.66028572282494968</v>
      </c>
      <c r="R26" s="304">
        <f t="shared" si="21"/>
        <v>0.79068274720448628</v>
      </c>
      <c r="S26" s="304">
        <f t="shared" si="21"/>
        <v>0.77133562954458457</v>
      </c>
      <c r="T26" s="304">
        <f t="shared" si="21"/>
        <v>0.76979307242465123</v>
      </c>
      <c r="U26" s="304">
        <f t="shared" si="21"/>
        <v>0.84215641569282729</v>
      </c>
      <c r="V26" s="304">
        <f t="shared" si="21"/>
        <v>0.77120315581854026</v>
      </c>
    </row>
    <row r="27" spans="1:22">
      <c r="A27" s="272" t="str">
        <f t="shared" si="20"/>
        <v>Extrusions</v>
      </c>
      <c r="B27" s="656">
        <v>0.95057034220532299</v>
      </c>
      <c r="C27" s="663">
        <f t="shared" ref="C27:I27" si="22">B27</f>
        <v>0.95057034220532299</v>
      </c>
      <c r="D27" s="663">
        <f t="shared" si="22"/>
        <v>0.95057034220532299</v>
      </c>
      <c r="E27" s="663">
        <f t="shared" si="22"/>
        <v>0.95057034220532299</v>
      </c>
      <c r="F27" s="663">
        <f t="shared" si="22"/>
        <v>0.95057034220532299</v>
      </c>
      <c r="G27" s="663">
        <f t="shared" si="22"/>
        <v>0.95057034220532299</v>
      </c>
      <c r="H27" s="663">
        <f t="shared" si="22"/>
        <v>0.95057034220532299</v>
      </c>
      <c r="I27" s="657">
        <f t="shared" si="22"/>
        <v>0.95057034220532299</v>
      </c>
      <c r="M27" s="272" t="s">
        <v>57</v>
      </c>
      <c r="N27" s="272" t="s">
        <v>8</v>
      </c>
      <c r="O27" s="305">
        <f>B27</f>
        <v>0.95057034220532299</v>
      </c>
      <c r="P27" s="305">
        <f t="shared" ref="P27:V28" si="23">C27</f>
        <v>0.95057034220532299</v>
      </c>
      <c r="Q27" s="305">
        <f t="shared" si="23"/>
        <v>0.95057034220532299</v>
      </c>
      <c r="R27" s="305">
        <f t="shared" si="23"/>
        <v>0.95057034220532299</v>
      </c>
      <c r="S27" s="305">
        <f t="shared" si="23"/>
        <v>0.95057034220532299</v>
      </c>
      <c r="T27" s="305">
        <f t="shared" si="23"/>
        <v>0.95057034220532299</v>
      </c>
      <c r="U27" s="305">
        <f t="shared" si="23"/>
        <v>0.95057034220532299</v>
      </c>
      <c r="V27" s="305">
        <f t="shared" si="23"/>
        <v>0.95057034220532299</v>
      </c>
    </row>
    <row r="28" spans="1:22">
      <c r="A28" s="272" t="str">
        <f t="shared" si="20"/>
        <v>Cable/Wire</v>
      </c>
      <c r="B28" s="658">
        <f>B27</f>
        <v>0.95057034220532299</v>
      </c>
      <c r="C28" s="664">
        <f t="shared" ref="C28:I28" si="24">C27</f>
        <v>0.95057034220532299</v>
      </c>
      <c r="D28" s="664">
        <f t="shared" si="24"/>
        <v>0.95057034220532299</v>
      </c>
      <c r="E28" s="664">
        <f t="shared" si="24"/>
        <v>0.95057034220532299</v>
      </c>
      <c r="F28" s="664">
        <f t="shared" si="24"/>
        <v>0.95057034220532299</v>
      </c>
      <c r="G28" s="664">
        <f t="shared" si="24"/>
        <v>0.95057034220532299</v>
      </c>
      <c r="H28" s="664">
        <f t="shared" si="24"/>
        <v>0.95057034220532299</v>
      </c>
      <c r="I28" s="659">
        <f t="shared" si="24"/>
        <v>0.95057034220532299</v>
      </c>
      <c r="M28" s="272" t="s">
        <v>113</v>
      </c>
      <c r="N28" s="272" t="s">
        <v>9</v>
      </c>
      <c r="O28" s="304">
        <f>B28</f>
        <v>0.95057034220532299</v>
      </c>
      <c r="P28" s="304">
        <f t="shared" si="23"/>
        <v>0.95057034220532299</v>
      </c>
      <c r="Q28" s="304">
        <f t="shared" si="23"/>
        <v>0.95057034220532299</v>
      </c>
      <c r="R28" s="304">
        <f t="shared" si="23"/>
        <v>0.95057034220532299</v>
      </c>
      <c r="S28" s="304">
        <f t="shared" si="23"/>
        <v>0.95057034220532299</v>
      </c>
      <c r="T28" s="304">
        <f t="shared" si="23"/>
        <v>0.95057034220532299</v>
      </c>
      <c r="U28" s="304">
        <f t="shared" si="23"/>
        <v>0.95057034220532299</v>
      </c>
      <c r="V28" s="304">
        <f t="shared" si="23"/>
        <v>0.95057034220532299</v>
      </c>
    </row>
    <row r="29" spans="1:22">
      <c r="A29" s="272" t="str">
        <f t="shared" si="20"/>
        <v>Forgings</v>
      </c>
      <c r="B29" s="658">
        <f>B28</f>
        <v>0.95057034220532299</v>
      </c>
      <c r="C29" s="664">
        <f t="shared" ref="C29:I29" si="25">C28</f>
        <v>0.95057034220532299</v>
      </c>
      <c r="D29" s="664">
        <f t="shared" si="25"/>
        <v>0.95057034220532299</v>
      </c>
      <c r="E29" s="664">
        <f t="shared" si="25"/>
        <v>0.95057034220532299</v>
      </c>
      <c r="F29" s="664">
        <f t="shared" si="25"/>
        <v>0.95057034220532299</v>
      </c>
      <c r="G29" s="664">
        <f t="shared" si="25"/>
        <v>0.95057034220532299</v>
      </c>
      <c r="H29" s="664">
        <f t="shared" si="25"/>
        <v>0.95057034220532299</v>
      </c>
      <c r="I29" s="659">
        <f t="shared" si="25"/>
        <v>0.95057034220532299</v>
      </c>
      <c r="M29" s="272" t="s">
        <v>141</v>
      </c>
      <c r="N29" s="272" t="s">
        <v>78</v>
      </c>
      <c r="O29" s="304">
        <f>IF(B18+B19&gt;0,(B18*B29+B19*B30)/(B18+B19),0)</f>
        <v>0</v>
      </c>
      <c r="P29" s="304">
        <f t="shared" ref="P29:V29" si="26">IF(C18+C19&gt;0,(C18*C29+C19*C30)/(C18+C19),0)</f>
        <v>0.95057034220532299</v>
      </c>
      <c r="Q29" s="304">
        <f t="shared" si="26"/>
        <v>0.95057034220532299</v>
      </c>
      <c r="R29" s="304">
        <f t="shared" si="26"/>
        <v>0.95057034220532299</v>
      </c>
      <c r="S29" s="304">
        <f t="shared" si="26"/>
        <v>0.95057034220532299</v>
      </c>
      <c r="T29" s="304">
        <f t="shared" si="26"/>
        <v>0.95057034220532299</v>
      </c>
      <c r="U29" s="304">
        <f t="shared" si="26"/>
        <v>0</v>
      </c>
      <c r="V29" s="304">
        <f t="shared" si="26"/>
        <v>0.99679622588367833</v>
      </c>
    </row>
    <row r="30" spans="1:22">
      <c r="A30" s="272" t="str">
        <f t="shared" si="20"/>
        <v>Powders</v>
      </c>
      <c r="B30" s="658">
        <f>B31</f>
        <v>1</v>
      </c>
      <c r="C30" s="664">
        <f t="shared" ref="C30:I30" si="27">C31</f>
        <v>1</v>
      </c>
      <c r="D30" s="664">
        <f t="shared" si="27"/>
        <v>1</v>
      </c>
      <c r="E30" s="664">
        <f t="shared" si="27"/>
        <v>1</v>
      </c>
      <c r="F30" s="664">
        <f t="shared" si="27"/>
        <v>1</v>
      </c>
      <c r="G30" s="664">
        <f t="shared" si="27"/>
        <v>1</v>
      </c>
      <c r="H30" s="664">
        <f t="shared" si="27"/>
        <v>1</v>
      </c>
      <c r="I30" s="659">
        <f t="shared" si="27"/>
        <v>1</v>
      </c>
      <c r="M30" s="272" t="s">
        <v>149</v>
      </c>
      <c r="N30" s="272" t="s">
        <v>10</v>
      </c>
      <c r="O30" s="305">
        <f>B31</f>
        <v>1</v>
      </c>
      <c r="P30" s="305">
        <f t="shared" ref="P30:V30" si="28">C31</f>
        <v>1</v>
      </c>
      <c r="Q30" s="305">
        <f t="shared" si="28"/>
        <v>1</v>
      </c>
      <c r="R30" s="305">
        <f t="shared" si="28"/>
        <v>1</v>
      </c>
      <c r="S30" s="305">
        <f t="shared" si="28"/>
        <v>1</v>
      </c>
      <c r="T30" s="305">
        <f t="shared" si="28"/>
        <v>1</v>
      </c>
      <c r="U30" s="305">
        <f t="shared" si="28"/>
        <v>1</v>
      </c>
      <c r="V30" s="305">
        <f t="shared" si="28"/>
        <v>1</v>
      </c>
    </row>
    <row r="31" spans="1:22">
      <c r="A31" s="272" t="str">
        <f t="shared" si="20"/>
        <v>Shape Castings</v>
      </c>
      <c r="B31" s="660">
        <v>1</v>
      </c>
      <c r="C31" s="661">
        <f>B31</f>
        <v>1</v>
      </c>
      <c r="D31" s="661">
        <f t="shared" ref="D31:I31" si="29">C31</f>
        <v>1</v>
      </c>
      <c r="E31" s="661">
        <f t="shared" si="29"/>
        <v>1</v>
      </c>
      <c r="F31" s="661">
        <f t="shared" si="29"/>
        <v>1</v>
      </c>
      <c r="G31" s="661">
        <f t="shared" si="29"/>
        <v>1</v>
      </c>
      <c r="H31" s="661">
        <f t="shared" si="29"/>
        <v>1</v>
      </c>
      <c r="I31" s="662">
        <f t="shared" si="29"/>
        <v>1</v>
      </c>
      <c r="M31" s="272" t="s">
        <v>115</v>
      </c>
      <c r="N31" s="272" t="s">
        <v>11</v>
      </c>
      <c r="O31" s="305">
        <f>B31</f>
        <v>1</v>
      </c>
      <c r="P31" s="305">
        <f t="shared" ref="P31:V31" si="30">C31</f>
        <v>1</v>
      </c>
      <c r="Q31" s="305">
        <f t="shared" si="30"/>
        <v>1</v>
      </c>
      <c r="R31" s="305">
        <f t="shared" si="30"/>
        <v>1</v>
      </c>
      <c r="S31" s="305">
        <f t="shared" si="30"/>
        <v>1</v>
      </c>
      <c r="T31" s="305">
        <f t="shared" si="30"/>
        <v>1</v>
      </c>
      <c r="U31" s="305">
        <f t="shared" si="30"/>
        <v>1</v>
      </c>
      <c r="V31" s="305">
        <f t="shared" si="30"/>
        <v>1</v>
      </c>
    </row>
    <row r="32" spans="1:22">
      <c r="A32" s="272" t="s">
        <v>343</v>
      </c>
      <c r="B32" s="665">
        <f>B38</f>
        <v>0.90650003626646736</v>
      </c>
      <c r="C32" s="666">
        <f t="shared" ref="C32:I32" si="31">C38</f>
        <v>0.87432486131705656</v>
      </c>
      <c r="D32" s="666">
        <f t="shared" si="31"/>
        <v>0.82770805193851626</v>
      </c>
      <c r="E32" s="666">
        <f t="shared" si="31"/>
        <v>0.88530034679451486</v>
      </c>
      <c r="F32" s="666">
        <f t="shared" si="31"/>
        <v>0.92509491069170335</v>
      </c>
      <c r="G32" s="666">
        <f t="shared" si="31"/>
        <v>0.90632945815127952</v>
      </c>
      <c r="H32" s="666">
        <f t="shared" si="31"/>
        <v>0.84217824253528994</v>
      </c>
      <c r="I32" s="667">
        <f t="shared" si="31"/>
        <v>0.97180510373928597</v>
      </c>
      <c r="M32" s="272" t="s">
        <v>148</v>
      </c>
      <c r="N32" s="272" t="s">
        <v>12</v>
      </c>
      <c r="O32" s="305">
        <f>B31</f>
        <v>1</v>
      </c>
      <c r="P32" s="305">
        <f t="shared" ref="P32:V32" si="32">C31</f>
        <v>1</v>
      </c>
      <c r="Q32" s="305">
        <f t="shared" si="32"/>
        <v>1</v>
      </c>
      <c r="R32" s="305">
        <f t="shared" si="32"/>
        <v>1</v>
      </c>
      <c r="S32" s="305">
        <f t="shared" si="32"/>
        <v>1</v>
      </c>
      <c r="T32" s="305">
        <f t="shared" si="32"/>
        <v>1</v>
      </c>
      <c r="U32" s="305">
        <f t="shared" si="32"/>
        <v>1</v>
      </c>
      <c r="V32" s="305">
        <f t="shared" si="32"/>
        <v>1</v>
      </c>
    </row>
    <row r="33" spans="1:22">
      <c r="M33" s="405" t="s">
        <v>343</v>
      </c>
      <c r="N33" s="405"/>
      <c r="O33" s="406">
        <f t="shared" ref="O33:V33" si="33">SUMPRODUCT(O14:O20,O26:O32)</f>
        <v>0.90650003626646747</v>
      </c>
      <c r="P33" s="406">
        <f t="shared" si="33"/>
        <v>0.87432486131705645</v>
      </c>
      <c r="Q33" s="406">
        <f t="shared" si="33"/>
        <v>0.82770805193851615</v>
      </c>
      <c r="R33" s="406">
        <f t="shared" si="33"/>
        <v>0.88530034679451486</v>
      </c>
      <c r="S33" s="406">
        <f t="shared" si="33"/>
        <v>0.92509491069170335</v>
      </c>
      <c r="T33" s="406">
        <f t="shared" si="33"/>
        <v>0.90632945815127952</v>
      </c>
      <c r="U33" s="406">
        <f t="shared" si="33"/>
        <v>0.84217824253529006</v>
      </c>
      <c r="V33" s="406">
        <f t="shared" si="33"/>
        <v>0.97180510373928608</v>
      </c>
    </row>
    <row r="34" spans="1:22">
      <c r="O34" s="407" t="b">
        <f t="shared" ref="O34:V34" si="34">(O33-B38)&lt;0.000001</f>
        <v>1</v>
      </c>
      <c r="P34" s="407" t="b">
        <f t="shared" si="34"/>
        <v>1</v>
      </c>
      <c r="Q34" s="407" t="b">
        <f t="shared" si="34"/>
        <v>1</v>
      </c>
      <c r="R34" s="407" t="b">
        <f t="shared" si="34"/>
        <v>1</v>
      </c>
      <c r="S34" s="407" t="b">
        <f t="shared" si="34"/>
        <v>1</v>
      </c>
      <c r="T34" s="407" t="b">
        <f t="shared" si="34"/>
        <v>1</v>
      </c>
      <c r="U34" s="407" t="b">
        <f t="shared" si="34"/>
        <v>1</v>
      </c>
      <c r="V34" s="407" t="b">
        <f t="shared" si="34"/>
        <v>1</v>
      </c>
    </row>
    <row r="35" spans="1:22">
      <c r="A35" s="272" t="s">
        <v>49</v>
      </c>
      <c r="B35" s="272" t="str">
        <f t="shared" ref="B35:I35" si="35">B13</f>
        <v>Construction</v>
      </c>
      <c r="C35" s="272" t="str">
        <f t="shared" si="35"/>
        <v>Trans. Auto</v>
      </c>
      <c r="D35" s="272" t="str">
        <f t="shared" si="35"/>
        <v>Trans. Other</v>
      </c>
      <c r="E35" s="272" t="str">
        <f t="shared" si="35"/>
        <v>Durables</v>
      </c>
      <c r="F35" s="272" t="str">
        <f t="shared" si="35"/>
        <v>Electrical</v>
      </c>
      <c r="G35" s="272" t="str">
        <f t="shared" si="35"/>
        <v>Machinery</v>
      </c>
      <c r="H35" s="272" t="str">
        <f t="shared" si="35"/>
        <v>Container</v>
      </c>
      <c r="I35" s="272" t="str">
        <f t="shared" si="35"/>
        <v>Other</v>
      </c>
    </row>
    <row r="36" spans="1:22">
      <c r="A36" s="272" t="s">
        <v>293</v>
      </c>
      <c r="B36" s="318">
        <f>B21</f>
        <v>1294.2503866662978</v>
      </c>
      <c r="C36" s="309">
        <f t="shared" ref="C36:I36" si="36">C21</f>
        <v>2033.8220361898966</v>
      </c>
      <c r="D36" s="309">
        <f t="shared" si="36"/>
        <v>1057.343643989233</v>
      </c>
      <c r="E36" s="309">
        <f t="shared" si="36"/>
        <v>649.36016260368729</v>
      </c>
      <c r="F36" s="309">
        <f t="shared" si="36"/>
        <v>785.08375103274341</v>
      </c>
      <c r="G36" s="309">
        <f t="shared" si="36"/>
        <v>674.96071970258117</v>
      </c>
      <c r="H36" s="309">
        <f t="shared" si="36"/>
        <v>2018.3804303207228</v>
      </c>
      <c r="I36" s="310">
        <f t="shared" si="36"/>
        <v>279.16797979269916</v>
      </c>
    </row>
    <row r="37" spans="1:22">
      <c r="A37" s="272" t="s">
        <v>282</v>
      </c>
      <c r="B37" s="323">
        <f t="shared" ref="B37:I37" si="37">SUMPRODUCT(B14:B20,B25:B31)</f>
        <v>1173.2380224508884</v>
      </c>
      <c r="C37" s="324">
        <f t="shared" si="37"/>
        <v>1778.221169735305</v>
      </c>
      <c r="D37" s="324">
        <f t="shared" si="37"/>
        <v>875.17184779590013</v>
      </c>
      <c r="E37" s="324">
        <f t="shared" si="37"/>
        <v>574.8787771475869</v>
      </c>
      <c r="F37" s="324">
        <f t="shared" si="37"/>
        <v>726.27698254714323</v>
      </c>
      <c r="G37" s="324">
        <f t="shared" si="37"/>
        <v>611.73678336143803</v>
      </c>
      <c r="H37" s="324">
        <f t="shared" si="37"/>
        <v>1699.8360835751287</v>
      </c>
      <c r="I37" s="325">
        <f t="shared" si="37"/>
        <v>271.29686756313089</v>
      </c>
      <c r="M37" s="272" t="s">
        <v>612</v>
      </c>
      <c r="N37" s="272" t="s">
        <v>28</v>
      </c>
      <c r="O37" s="272" t="s">
        <v>13</v>
      </c>
      <c r="P37" s="272" t="s">
        <v>14</v>
      </c>
      <c r="Q37" s="272" t="s">
        <v>15</v>
      </c>
      <c r="R37" s="272" t="s">
        <v>16</v>
      </c>
      <c r="S37" s="272" t="s">
        <v>17</v>
      </c>
      <c r="T37" s="272" t="s">
        <v>18</v>
      </c>
      <c r="U37" s="272" t="s">
        <v>19</v>
      </c>
      <c r="V37" s="272" t="s">
        <v>20</v>
      </c>
    </row>
    <row r="38" spans="1:22">
      <c r="A38" s="272" t="s">
        <v>344</v>
      </c>
      <c r="B38" s="326">
        <f>B37/B36</f>
        <v>0.90650003626646736</v>
      </c>
      <c r="C38" s="327">
        <f t="shared" ref="C38:I38" si="38">C37/C36</f>
        <v>0.87432486131705656</v>
      </c>
      <c r="D38" s="327">
        <f t="shared" si="38"/>
        <v>0.82770805193851626</v>
      </c>
      <c r="E38" s="327">
        <f t="shared" si="38"/>
        <v>0.88530034679451486</v>
      </c>
      <c r="F38" s="327">
        <f t="shared" si="38"/>
        <v>0.92509491069170335</v>
      </c>
      <c r="G38" s="327">
        <f t="shared" si="38"/>
        <v>0.90632945815127952</v>
      </c>
      <c r="H38" s="327">
        <f t="shared" si="38"/>
        <v>0.84217824253528994</v>
      </c>
      <c r="I38" s="328">
        <f t="shared" si="38"/>
        <v>0.97180510373928597</v>
      </c>
      <c r="N38" s="272" t="s">
        <v>7</v>
      </c>
      <c r="O38" s="304">
        <f>O14*O26</f>
        <v>0.32455639598496738</v>
      </c>
      <c r="P38" s="304">
        <f t="shared" ref="P38:V38" si="39">P14*P26</f>
        <v>0.23774471142892187</v>
      </c>
      <c r="Q38" s="304">
        <f t="shared" si="39"/>
        <v>0.29791523389565366</v>
      </c>
      <c r="R38" s="304">
        <f t="shared" si="39"/>
        <v>0.37554956516158017</v>
      </c>
      <c r="S38" s="304">
        <f t="shared" si="39"/>
        <v>0.13374608483304132</v>
      </c>
      <c r="T38" s="304">
        <f t="shared" si="39"/>
        <v>0.2641673999289893</v>
      </c>
      <c r="U38" s="304">
        <f t="shared" si="39"/>
        <v>0.84198686537760825</v>
      </c>
      <c r="V38" s="304">
        <f t="shared" si="39"/>
        <v>7.2966819691710511E-2</v>
      </c>
    </row>
    <row r="39" spans="1:22">
      <c r="N39" s="272" t="s">
        <v>8</v>
      </c>
      <c r="O39" s="304">
        <f t="shared" ref="O39:V39" si="40">O15*O27</f>
        <v>0.56228399520088812</v>
      </c>
      <c r="P39" s="304">
        <f t="shared" si="40"/>
        <v>9.6481465302758057E-2</v>
      </c>
      <c r="Q39" s="304">
        <f t="shared" si="40"/>
        <v>0.30906322425276833</v>
      </c>
      <c r="R39" s="304">
        <f t="shared" si="40"/>
        <v>0.28017436243974159</v>
      </c>
      <c r="S39" s="304">
        <f t="shared" si="40"/>
        <v>0.23124640830046678</v>
      </c>
      <c r="T39" s="304">
        <f t="shared" si="40"/>
        <v>0.26840306471661435</v>
      </c>
      <c r="U39" s="304">
        <f t="shared" si="40"/>
        <v>0</v>
      </c>
      <c r="V39" s="304">
        <f t="shared" si="40"/>
        <v>0.10930867108329041</v>
      </c>
    </row>
    <row r="40" spans="1:22">
      <c r="A40" s="283" t="s">
        <v>339</v>
      </c>
      <c r="N40" s="272" t="s">
        <v>9</v>
      </c>
      <c r="O40" s="304">
        <f t="shared" ref="O40:V40" si="41">O16*O28</f>
        <v>8.3566623490577852E-3</v>
      </c>
      <c r="P40" s="304">
        <f t="shared" si="41"/>
        <v>7.5969657718707128E-4</v>
      </c>
      <c r="Q40" s="304">
        <f t="shared" si="41"/>
        <v>5.1145214415351742E-3</v>
      </c>
      <c r="R40" s="304">
        <f t="shared" si="41"/>
        <v>2.9742501320567053E-3</v>
      </c>
      <c r="S40" s="304">
        <f t="shared" si="41"/>
        <v>0.4462563666564327</v>
      </c>
      <c r="T40" s="304">
        <f t="shared" si="41"/>
        <v>8.0120317825855044E-3</v>
      </c>
      <c r="U40" s="304">
        <f t="shared" si="41"/>
        <v>1.9137715768176425E-4</v>
      </c>
      <c r="V40" s="304">
        <f t="shared" si="41"/>
        <v>6.9182703217272419E-3</v>
      </c>
    </row>
    <row r="41" spans="1:22">
      <c r="N41" s="272" t="s">
        <v>78</v>
      </c>
      <c r="O41" s="304">
        <f t="shared" ref="O41:V41" si="42">O17*O29</f>
        <v>0</v>
      </c>
      <c r="P41" s="304">
        <f t="shared" si="42"/>
        <v>1.3864462533664053E-2</v>
      </c>
      <c r="Q41" s="304">
        <f t="shared" si="42"/>
        <v>5.1510537375461393E-2</v>
      </c>
      <c r="R41" s="304">
        <f t="shared" si="42"/>
        <v>1.0707300475404137E-2</v>
      </c>
      <c r="S41" s="304">
        <f t="shared" si="42"/>
        <v>4.9201363468184421E-4</v>
      </c>
      <c r="T41" s="304">
        <f t="shared" si="42"/>
        <v>5.7228798447039311E-3</v>
      </c>
      <c r="U41" s="304">
        <f t="shared" si="42"/>
        <v>0</v>
      </c>
      <c r="V41" s="304">
        <f t="shared" si="42"/>
        <v>0.15670159009525075</v>
      </c>
    </row>
    <row r="42" spans="1:22">
      <c r="A42" s="401" t="s">
        <v>534</v>
      </c>
      <c r="B42" s="272" t="str">
        <f>B2</f>
        <v>Construction</v>
      </c>
      <c r="C42" s="272" t="str">
        <f t="shared" ref="C42:I42" si="43">C2</f>
        <v>Trans. Auto</v>
      </c>
      <c r="D42" s="272" t="str">
        <f t="shared" si="43"/>
        <v>Trans. Other</v>
      </c>
      <c r="E42" s="272" t="str">
        <f t="shared" si="43"/>
        <v>Durables</v>
      </c>
      <c r="F42" s="272" t="str">
        <f t="shared" si="43"/>
        <v>Electrical</v>
      </c>
      <c r="G42" s="272" t="str">
        <f t="shared" si="43"/>
        <v>Machinery</v>
      </c>
      <c r="H42" s="272" t="str">
        <f t="shared" si="43"/>
        <v>Container</v>
      </c>
      <c r="I42" s="272" t="str">
        <f t="shared" si="43"/>
        <v>Other</v>
      </c>
      <c r="N42" s="272" t="s">
        <v>10</v>
      </c>
      <c r="O42" s="304">
        <f t="shared" ref="O42:V42" si="44">O18*O30</f>
        <v>5.6527230563067224E-3</v>
      </c>
      <c r="P42" s="304">
        <f t="shared" si="44"/>
        <v>0.26279452390557262</v>
      </c>
      <c r="Q42" s="304">
        <f t="shared" si="44"/>
        <v>8.2070150023079061E-2</v>
      </c>
      <c r="R42" s="304">
        <f t="shared" si="44"/>
        <v>0.10797096044267547</v>
      </c>
      <c r="S42" s="304">
        <f t="shared" si="44"/>
        <v>5.6689370868124332E-2</v>
      </c>
      <c r="T42" s="304">
        <f t="shared" si="44"/>
        <v>0.18005127290677425</v>
      </c>
      <c r="U42" s="304">
        <f t="shared" si="44"/>
        <v>0</v>
      </c>
      <c r="V42" s="304">
        <f t="shared" si="44"/>
        <v>0.31302308190865569</v>
      </c>
    </row>
    <row r="43" spans="1:22">
      <c r="A43" s="272" t="str">
        <f>A3</f>
        <v>Sheet</v>
      </c>
      <c r="B43" s="671">
        <f>B14*(1-B25)</f>
        <v>81.203883496226624</v>
      </c>
      <c r="C43" s="672">
        <f t="shared" ref="C43:I43" si="45">C14*(1-C25)</f>
        <v>239.10963104898329</v>
      </c>
      <c r="D43" s="672">
        <f t="shared" si="45"/>
        <v>160.98194927600156</v>
      </c>
      <c r="E43" s="672">
        <f t="shared" si="45"/>
        <v>47.356341886232173</v>
      </c>
      <c r="F43" s="672">
        <f t="shared" si="45"/>
        <v>30.383078754731137</v>
      </c>
      <c r="G43" s="672">
        <f t="shared" si="45"/>
        <v>52.982837951923116</v>
      </c>
      <c r="H43" s="672">
        <f t="shared" si="45"/>
        <v>283.65135165771517</v>
      </c>
      <c r="I43" s="673">
        <f t="shared" si="45"/>
        <v>5.9078208689754979</v>
      </c>
      <c r="N43" s="272" t="s">
        <v>11</v>
      </c>
      <c r="O43" s="304">
        <f t="shared" ref="O43:V43" si="46">O19*O31</f>
        <v>3.8767946171032329E-3</v>
      </c>
      <c r="P43" s="304">
        <f t="shared" si="46"/>
        <v>0.18023179015371341</v>
      </c>
      <c r="Q43" s="304">
        <f t="shared" si="46"/>
        <v>5.6285990427100002E-2</v>
      </c>
      <c r="R43" s="304">
        <f t="shared" si="46"/>
        <v>7.4049486252580649E-2</v>
      </c>
      <c r="S43" s="304">
        <f t="shared" si="46"/>
        <v>3.8879146499723391E-2</v>
      </c>
      <c r="T43" s="304">
        <f t="shared" si="46"/>
        <v>0.12348416836533097</v>
      </c>
      <c r="U43" s="304">
        <f t="shared" si="46"/>
        <v>0</v>
      </c>
      <c r="V43" s="304">
        <f t="shared" si="46"/>
        <v>0.21467993158069434</v>
      </c>
    </row>
    <row r="44" spans="1:22">
      <c r="A44" s="272" t="str">
        <f t="shared" ref="A44:A49" si="47">A4</f>
        <v>Foil</v>
      </c>
      <c r="B44" s="674">
        <f t="shared" ref="B44:I44" si="48">B15*(1-B26)</f>
        <v>1.403782351743095</v>
      </c>
      <c r="C44" s="675">
        <f t="shared" si="48"/>
        <v>4.7408439072025557</v>
      </c>
      <c r="D44" s="675">
        <f t="shared" si="48"/>
        <v>1.0836214645034414</v>
      </c>
      <c r="E44" s="675">
        <f t="shared" si="48"/>
        <v>17.20249074899213</v>
      </c>
      <c r="F44" s="675">
        <f t="shared" si="48"/>
        <v>0.7449897568461159</v>
      </c>
      <c r="G44" s="675">
        <f t="shared" si="48"/>
        <v>0.33863170765732536</v>
      </c>
      <c r="H44" s="675">
        <f t="shared" si="48"/>
        <v>34.872908948565318</v>
      </c>
      <c r="I44" s="676">
        <f t="shared" si="48"/>
        <v>0.13545268306293018</v>
      </c>
      <c r="N44" s="272" t="s">
        <v>12</v>
      </c>
      <c r="O44" s="773">
        <f t="shared" ref="O44:V44" si="49">O20*O32</f>
        <v>1.7734650581442046E-3</v>
      </c>
      <c r="P44" s="773">
        <f t="shared" si="49"/>
        <v>8.2448211415239406E-2</v>
      </c>
      <c r="Q44" s="773">
        <f t="shared" si="49"/>
        <v>2.5748394522918563E-2</v>
      </c>
      <c r="R44" s="773">
        <f t="shared" si="49"/>
        <v>3.3874421890476042E-2</v>
      </c>
      <c r="S44" s="773">
        <f t="shared" si="49"/>
        <v>1.7785519899233021E-2</v>
      </c>
      <c r="T44" s="773">
        <f t="shared" si="49"/>
        <v>5.6488640606281303E-2</v>
      </c>
      <c r="U44" s="773">
        <f t="shared" si="49"/>
        <v>0</v>
      </c>
      <c r="V44" s="773">
        <f t="shared" si="49"/>
        <v>9.8206739057957126E-2</v>
      </c>
    </row>
    <row r="45" spans="1:22">
      <c r="A45" s="272" t="str">
        <f t="shared" si="47"/>
        <v>Extrusions</v>
      </c>
      <c r="B45" s="674">
        <f t="shared" ref="B45:I45" si="50">B16*(1-B27)</f>
        <v>37.842286466661214</v>
      </c>
      <c r="C45" s="675">
        <f t="shared" si="50"/>
        <v>10.203758771265337</v>
      </c>
      <c r="D45" s="675">
        <f t="shared" si="50"/>
        <v>16.992873859233221</v>
      </c>
      <c r="E45" s="675">
        <f t="shared" si="50"/>
        <v>9.4605716166653036</v>
      </c>
      <c r="F45" s="675">
        <f t="shared" si="50"/>
        <v>9.440485477351789</v>
      </c>
      <c r="G45" s="675">
        <f t="shared" si="50"/>
        <v>9.4203993380382745</v>
      </c>
      <c r="H45" s="675">
        <f t="shared" si="50"/>
        <v>0</v>
      </c>
      <c r="I45" s="676">
        <f t="shared" si="50"/>
        <v>1.5868050057676411</v>
      </c>
      <c r="O45" s="772">
        <f>SUM(O38:O44)</f>
        <v>0.90650003626646747</v>
      </c>
      <c r="P45" s="772">
        <f t="shared" ref="P45:V45" si="51">SUM(P38:P44)</f>
        <v>0.87432486131705645</v>
      </c>
      <c r="Q45" s="772">
        <f t="shared" si="51"/>
        <v>0.82770805193851615</v>
      </c>
      <c r="R45" s="772">
        <f t="shared" si="51"/>
        <v>0.88530034679451486</v>
      </c>
      <c r="S45" s="772">
        <f t="shared" si="51"/>
        <v>0.92509491069170335</v>
      </c>
      <c r="T45" s="772">
        <f t="shared" si="51"/>
        <v>0.90632945815127952</v>
      </c>
      <c r="U45" s="772">
        <f t="shared" si="51"/>
        <v>0.84217824253529006</v>
      </c>
      <c r="V45" s="772">
        <f t="shared" si="51"/>
        <v>0.97180510373928608</v>
      </c>
    </row>
    <row r="46" spans="1:22">
      <c r="A46" s="272" t="str">
        <f t="shared" si="47"/>
        <v>Cable/Wire</v>
      </c>
      <c r="B46" s="674">
        <f t="shared" ref="B46:I46" si="52">B17*(1-B28)</f>
        <v>0.56241190077840442</v>
      </c>
      <c r="C46" s="675">
        <f t="shared" si="52"/>
        <v>8.0344557254057786E-2</v>
      </c>
      <c r="D46" s="675">
        <f t="shared" si="52"/>
        <v>0.28120595038920221</v>
      </c>
      <c r="E46" s="675">
        <f t="shared" si="52"/>
        <v>0.10043069656757221</v>
      </c>
      <c r="F46" s="675">
        <f t="shared" si="52"/>
        <v>18.218128357357603</v>
      </c>
      <c r="G46" s="675">
        <f t="shared" si="52"/>
        <v>0.28120595038920221</v>
      </c>
      <c r="H46" s="675">
        <f t="shared" si="52"/>
        <v>2.0086139313514446E-2</v>
      </c>
      <c r="I46" s="676">
        <f t="shared" si="52"/>
        <v>0.10043069656757221</v>
      </c>
    </row>
    <row r="47" spans="1:22">
      <c r="A47" s="272" t="str">
        <f t="shared" si="47"/>
        <v>Forgings</v>
      </c>
      <c r="B47" s="674">
        <f t="shared" ref="B47:I47" si="53">B18*(1-B29)</f>
        <v>0</v>
      </c>
      <c r="C47" s="675">
        <f t="shared" si="53"/>
        <v>1.4662881698865544</v>
      </c>
      <c r="D47" s="675">
        <f t="shared" si="53"/>
        <v>2.8321456432055365</v>
      </c>
      <c r="E47" s="675">
        <f t="shared" si="53"/>
        <v>0.36155050764326002</v>
      </c>
      <c r="F47" s="675">
        <f t="shared" si="53"/>
        <v>2.0086139313514446E-2</v>
      </c>
      <c r="G47" s="675">
        <f t="shared" si="53"/>
        <v>0.20086139313514442</v>
      </c>
      <c r="H47" s="675">
        <f t="shared" si="53"/>
        <v>0</v>
      </c>
      <c r="I47" s="676">
        <f t="shared" si="53"/>
        <v>0.1406029751946011</v>
      </c>
    </row>
    <row r="48" spans="1:22">
      <c r="A48" s="272" t="str">
        <f t="shared" si="47"/>
        <v>Powders</v>
      </c>
      <c r="B48" s="674">
        <f t="shared" ref="B48:I48" si="54">B19*(1-B30)</f>
        <v>0</v>
      </c>
      <c r="C48" s="675">
        <f t="shared" si="54"/>
        <v>0</v>
      </c>
      <c r="D48" s="675">
        <f t="shared" si="54"/>
        <v>0</v>
      </c>
      <c r="E48" s="675">
        <f t="shared" si="54"/>
        <v>0</v>
      </c>
      <c r="F48" s="675">
        <f t="shared" si="54"/>
        <v>0</v>
      </c>
      <c r="G48" s="675">
        <f t="shared" si="54"/>
        <v>0</v>
      </c>
      <c r="H48" s="675">
        <f t="shared" si="54"/>
        <v>0</v>
      </c>
      <c r="I48" s="676">
        <f t="shared" si="54"/>
        <v>0</v>
      </c>
      <c r="M48" s="272" t="s">
        <v>572</v>
      </c>
      <c r="N48" s="272" t="s">
        <v>28</v>
      </c>
      <c r="O48" s="272" t="s">
        <v>13</v>
      </c>
      <c r="P48" s="272" t="s">
        <v>14</v>
      </c>
      <c r="Q48" s="272" t="s">
        <v>15</v>
      </c>
      <c r="R48" s="272" t="s">
        <v>16</v>
      </c>
      <c r="S48" s="272" t="s">
        <v>17</v>
      </c>
      <c r="T48" s="272" t="s">
        <v>18</v>
      </c>
      <c r="U48" s="272" t="s">
        <v>19</v>
      </c>
      <c r="V48" s="272" t="s">
        <v>20</v>
      </c>
    </row>
    <row r="49" spans="1:22">
      <c r="A49" s="272" t="str">
        <f t="shared" si="47"/>
        <v>Shape Castings</v>
      </c>
      <c r="B49" s="674">
        <f t="shared" ref="B49:I49" si="55">B20*(1-B31)</f>
        <v>0</v>
      </c>
      <c r="C49" s="675">
        <f t="shared" si="55"/>
        <v>0</v>
      </c>
      <c r="D49" s="675">
        <f t="shared" si="55"/>
        <v>0</v>
      </c>
      <c r="E49" s="675">
        <f t="shared" si="55"/>
        <v>0</v>
      </c>
      <c r="F49" s="675">
        <f t="shared" si="55"/>
        <v>0</v>
      </c>
      <c r="G49" s="675">
        <f t="shared" si="55"/>
        <v>0</v>
      </c>
      <c r="H49" s="675">
        <f t="shared" si="55"/>
        <v>0</v>
      </c>
      <c r="I49" s="676">
        <f t="shared" si="55"/>
        <v>0</v>
      </c>
      <c r="N49" s="272" t="s">
        <v>7</v>
      </c>
      <c r="O49" s="304">
        <f>O14/O$45</f>
        <v>0.42844239380894705</v>
      </c>
      <c r="P49" s="304">
        <f t="shared" ref="P49:V49" si="56">P14/P$45</f>
        <v>0.40904974050905529</v>
      </c>
      <c r="Q49" s="304">
        <f t="shared" si="56"/>
        <v>0.54510934161001123</v>
      </c>
      <c r="R49" s="304">
        <f t="shared" si="56"/>
        <v>0.536505732329567</v>
      </c>
      <c r="S49" s="304">
        <f t="shared" si="56"/>
        <v>0.18743530326518168</v>
      </c>
      <c r="T49" s="304">
        <f t="shared" si="56"/>
        <v>0.37863357956809024</v>
      </c>
      <c r="U49" s="304">
        <f t="shared" si="56"/>
        <v>1.1871580393959464</v>
      </c>
      <c r="V49" s="304">
        <f t="shared" si="56"/>
        <v>9.7359300291681425E-2</v>
      </c>
    </row>
    <row r="50" spans="1:22">
      <c r="A50" s="272" t="s">
        <v>153</v>
      </c>
      <c r="B50" s="677">
        <f>SUM(B43:B49)</f>
        <v>121.01236421540933</v>
      </c>
      <c r="C50" s="678">
        <f t="shared" ref="C50:I50" si="57">SUM(C43:C49)</f>
        <v>255.6008664545918</v>
      </c>
      <c r="D50" s="678">
        <f t="shared" si="57"/>
        <v>182.17179619333294</v>
      </c>
      <c r="E50" s="678">
        <f t="shared" si="57"/>
        <v>74.48138545610044</v>
      </c>
      <c r="F50" s="678">
        <f t="shared" si="57"/>
        <v>58.806768485600152</v>
      </c>
      <c r="G50" s="678">
        <f t="shared" si="57"/>
        <v>63.223936341143059</v>
      </c>
      <c r="H50" s="678">
        <f t="shared" si="57"/>
        <v>318.544346745594</v>
      </c>
      <c r="I50" s="679">
        <f t="shared" si="57"/>
        <v>7.8711122295682419</v>
      </c>
      <c r="J50" s="265">
        <f>SUM(B50:I50)</f>
        <v>1081.7125761213399</v>
      </c>
      <c r="N50" s="272" t="s">
        <v>8</v>
      </c>
      <c r="O50" s="304">
        <f t="shared" ref="O50:V55" si="58">O15/O$45</f>
        <v>0.65253473721589039</v>
      </c>
      <c r="P50" s="304">
        <f t="shared" si="58"/>
        <v>0.11608785931765365</v>
      </c>
      <c r="Q50" s="304">
        <f t="shared" si="58"/>
        <v>0.39281303492510183</v>
      </c>
      <c r="R50" s="304">
        <f t="shared" si="58"/>
        <v>0.33293043468672728</v>
      </c>
      <c r="S50" s="304">
        <f t="shared" si="58"/>
        <v>0.26296893293921009</v>
      </c>
      <c r="T50" s="304">
        <f t="shared" si="58"/>
        <v>0.311542366346376</v>
      </c>
      <c r="U50" s="304">
        <f t="shared" si="58"/>
        <v>0</v>
      </c>
      <c r="V50" s="304">
        <f t="shared" si="58"/>
        <v>0.11832899573912051</v>
      </c>
    </row>
    <row r="51" spans="1:22">
      <c r="N51" s="272" t="s">
        <v>9</v>
      </c>
      <c r="O51" s="304">
        <f t="shared" si="58"/>
        <v>9.6979684936544207E-3</v>
      </c>
      <c r="P51" s="304">
        <f t="shared" si="58"/>
        <v>9.1407763242246976E-4</v>
      </c>
      <c r="Q51" s="304">
        <f t="shared" si="58"/>
        <v>6.5004521145997944E-3</v>
      </c>
      <c r="R51" s="304">
        <f t="shared" si="58"/>
        <v>3.5342933618548547E-3</v>
      </c>
      <c r="S51" s="304">
        <f t="shared" si="58"/>
        <v>0.50747408973587993</v>
      </c>
      <c r="T51" s="304">
        <f t="shared" si="58"/>
        <v>9.2997721297425669E-3</v>
      </c>
      <c r="U51" s="304">
        <f t="shared" si="58"/>
        <v>2.3905719681754863E-4</v>
      </c>
      <c r="V51" s="304">
        <f t="shared" si="58"/>
        <v>7.4891769455139555E-3</v>
      </c>
    </row>
    <row r="52" spans="1:22">
      <c r="N52" s="272" t="s">
        <v>78</v>
      </c>
      <c r="O52" s="304">
        <f t="shared" si="58"/>
        <v>0</v>
      </c>
      <c r="P52" s="304">
        <f t="shared" si="58"/>
        <v>1.6681916791710074E-2</v>
      </c>
      <c r="Q52" s="304">
        <f t="shared" si="58"/>
        <v>6.5468839154183653E-2</v>
      </c>
      <c r="R52" s="304">
        <f t="shared" si="58"/>
        <v>1.2723456102677475E-2</v>
      </c>
      <c r="S52" s="304">
        <f t="shared" si="58"/>
        <v>5.5950836795576624E-4</v>
      </c>
      <c r="T52" s="304">
        <f t="shared" si="58"/>
        <v>6.6426943783875481E-3</v>
      </c>
      <c r="U52" s="304">
        <f t="shared" si="58"/>
        <v>0</v>
      </c>
      <c r="V52" s="304">
        <f t="shared" si="58"/>
        <v>0.16176622202310145</v>
      </c>
    </row>
    <row r="53" spans="1:22">
      <c r="N53" s="272" t="s">
        <v>10</v>
      </c>
      <c r="O53" s="304">
        <f t="shared" si="58"/>
        <v>6.2357670492636285E-3</v>
      </c>
      <c r="P53" s="304">
        <f t="shared" si="58"/>
        <v>0.30056851352677644</v>
      </c>
      <c r="Q53" s="304">
        <f t="shared" si="58"/>
        <v>9.9153499631746245E-2</v>
      </c>
      <c r="R53" s="304">
        <f t="shared" si="58"/>
        <v>0.12195969518549887</v>
      </c>
      <c r="S53" s="304">
        <f t="shared" si="58"/>
        <v>6.1279518688236091E-2</v>
      </c>
      <c r="T53" s="304">
        <f t="shared" si="58"/>
        <v>0.1986598485654883</v>
      </c>
      <c r="U53" s="304">
        <f t="shared" si="58"/>
        <v>0</v>
      </c>
      <c r="V53" s="304">
        <f t="shared" si="58"/>
        <v>0.32210479313620982</v>
      </c>
    </row>
    <row r="54" spans="1:22">
      <c r="N54" s="272" t="s">
        <v>11</v>
      </c>
      <c r="O54" s="304">
        <f t="shared" si="58"/>
        <v>4.2766623960328685E-3</v>
      </c>
      <c r="P54" s="304">
        <f t="shared" si="58"/>
        <v>0.20613824234875092</v>
      </c>
      <c r="Q54" s="304">
        <f t="shared" si="58"/>
        <v>6.8002226503990848E-2</v>
      </c>
      <c r="R54" s="304">
        <f t="shared" si="58"/>
        <v>8.3643349424518093E-2</v>
      </c>
      <c r="S54" s="304">
        <f t="shared" si="58"/>
        <v>4.2027197480367755E-2</v>
      </c>
      <c r="T54" s="304">
        <f t="shared" si="58"/>
        <v>0.13624644686846277</v>
      </c>
      <c r="U54" s="304">
        <f t="shared" si="58"/>
        <v>0</v>
      </c>
      <c r="V54" s="304">
        <f t="shared" si="58"/>
        <v>0.22090842161113844</v>
      </c>
    </row>
    <row r="55" spans="1:22">
      <c r="N55" s="272" t="s">
        <v>12</v>
      </c>
      <c r="O55" s="773">
        <f t="shared" si="58"/>
        <v>1.9563871894020435E-3</v>
      </c>
      <c r="P55" s="773">
        <f t="shared" si="58"/>
        <v>9.4299287442246485E-2</v>
      </c>
      <c r="Q55" s="773">
        <f t="shared" si="58"/>
        <v>3.1108063359556647E-2</v>
      </c>
      <c r="R55" s="773">
        <f t="shared" si="58"/>
        <v>3.8263197357968008E-2</v>
      </c>
      <c r="S55" s="773">
        <f t="shared" si="58"/>
        <v>1.9225616413708943E-2</v>
      </c>
      <c r="T55" s="773">
        <f t="shared" si="58"/>
        <v>6.2326828393624308E-2</v>
      </c>
      <c r="U55" s="773">
        <f t="shared" si="58"/>
        <v>0</v>
      </c>
      <c r="V55" s="773">
        <f t="shared" si="58"/>
        <v>0.10105600256685196</v>
      </c>
    </row>
    <row r="56" spans="1:22">
      <c r="O56" s="304">
        <f>SUM(O49:O55)</f>
        <v>1.1031439161531904</v>
      </c>
      <c r="P56" s="304">
        <f t="shared" ref="P56:V56" si="59">SUM(P49:P55)</f>
        <v>1.1437396375686155</v>
      </c>
      <c r="Q56" s="304">
        <f t="shared" si="59"/>
        <v>1.2081554572991902</v>
      </c>
      <c r="R56" s="304">
        <f t="shared" si="59"/>
        <v>1.1295601584488115</v>
      </c>
      <c r="S56" s="304">
        <f t="shared" si="59"/>
        <v>1.0809701668905403</v>
      </c>
      <c r="T56" s="304">
        <f t="shared" si="59"/>
        <v>1.1033515362501716</v>
      </c>
      <c r="U56" s="304">
        <f t="shared" si="59"/>
        <v>1.187397096592764</v>
      </c>
      <c r="V56" s="304">
        <f t="shared" si="59"/>
        <v>1.0290129123136176</v>
      </c>
    </row>
    <row r="57" spans="1:22">
      <c r="O57" s="304">
        <f>1/O56</f>
        <v>0.90650003626646747</v>
      </c>
      <c r="P57" s="304">
        <f t="shared" ref="P57:V57" si="60">1/P56</f>
        <v>0.87432486131705633</v>
      </c>
      <c r="Q57" s="304">
        <f t="shared" si="60"/>
        <v>0.82770805193851626</v>
      </c>
      <c r="R57" s="304">
        <f t="shared" si="60"/>
        <v>0.88530034679451486</v>
      </c>
      <c r="S57" s="304">
        <f t="shared" si="60"/>
        <v>0.92509491069170335</v>
      </c>
      <c r="T57" s="304">
        <f t="shared" si="60"/>
        <v>0.90632945815127963</v>
      </c>
      <c r="U57" s="304">
        <f t="shared" si="60"/>
        <v>0.84217824253528994</v>
      </c>
      <c r="V57" s="304">
        <f t="shared" si="60"/>
        <v>0.97180510373928608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07186-5A6A-2A4D-BCBF-CFE297DB7587}">
  <dimension ref="A1:T24"/>
  <sheetViews>
    <sheetView zoomScale="130" zoomScaleNormal="130" workbookViewId="0">
      <pane xSplit="2" topLeftCell="H1" activePane="topRight" state="frozen"/>
      <selection pane="topRight" activeCell="J14" sqref="J14"/>
    </sheetView>
  </sheetViews>
  <sheetFormatPr defaultColWidth="11" defaultRowHeight="15.6"/>
  <cols>
    <col min="1" max="1" width="11" style="526"/>
    <col min="2" max="2" width="19.5" style="526" customWidth="1"/>
    <col min="3" max="3" width="7.19921875" style="526" customWidth="1"/>
    <col min="4" max="4" width="6.5" style="526" customWidth="1"/>
    <col min="5" max="5" width="11" style="526"/>
    <col min="6" max="6" width="11" style="526" customWidth="1"/>
    <col min="7" max="7" width="11" style="526"/>
    <col min="8" max="20" width="10.69921875" style="526" customWidth="1"/>
    <col min="21" max="16384" width="11" style="526"/>
  </cols>
  <sheetData>
    <row r="1" spans="1:20" ht="16.2" thickBot="1">
      <c r="A1" s="526" t="s">
        <v>63</v>
      </c>
      <c r="B1" s="526" t="s">
        <v>64</v>
      </c>
      <c r="C1" s="526" t="s">
        <v>68</v>
      </c>
      <c r="D1" s="526" t="s">
        <v>69</v>
      </c>
      <c r="E1" s="526" t="s">
        <v>65</v>
      </c>
      <c r="F1" s="526" t="s">
        <v>66</v>
      </c>
      <c r="G1" s="526" t="s">
        <v>67</v>
      </c>
      <c r="H1" s="526" t="s">
        <v>259</v>
      </c>
      <c r="I1" s="526" t="s">
        <v>260</v>
      </c>
      <c r="J1" s="526" t="s">
        <v>288</v>
      </c>
      <c r="K1" s="526" t="s">
        <v>95</v>
      </c>
      <c r="L1" s="526" t="s">
        <v>287</v>
      </c>
      <c r="M1" s="526" t="s">
        <v>93</v>
      </c>
      <c r="N1" s="526" t="s">
        <v>91</v>
      </c>
      <c r="O1" s="526" t="s">
        <v>92</v>
      </c>
      <c r="P1" s="526" t="s">
        <v>226</v>
      </c>
      <c r="Q1" s="526" t="s">
        <v>94</v>
      </c>
      <c r="R1" s="526" t="s">
        <v>455</v>
      </c>
      <c r="S1" s="526" t="s">
        <v>462</v>
      </c>
      <c r="T1" s="526" t="s">
        <v>500</v>
      </c>
    </row>
    <row r="2" spans="1:20">
      <c r="A2" s="527" t="s">
        <v>13</v>
      </c>
      <c r="B2" s="528" t="s">
        <v>605</v>
      </c>
      <c r="C2" s="528">
        <v>70</v>
      </c>
      <c r="D2" s="528">
        <v>23</v>
      </c>
      <c r="E2" s="579">
        <v>0.95</v>
      </c>
      <c r="F2" s="528">
        <v>1</v>
      </c>
      <c r="G2" s="529">
        <f>I2/H2</f>
        <v>0.95</v>
      </c>
      <c r="H2" s="569">
        <v>262.24072820496161</v>
      </c>
      <c r="I2" s="575">
        <f>H2*E2</f>
        <v>249.12869179471352</v>
      </c>
      <c r="J2" s="572">
        <f>Raw!P24</f>
        <v>1119.6016322178994</v>
      </c>
      <c r="K2" s="539">
        <f t="shared" ref="K2:K9" si="0">L2-J2</f>
        <v>174.64875444839845</v>
      </c>
      <c r="L2" s="539" cm="1">
        <f t="array" ref="L2:L9">TRANSPOSE(Raw!P42:W42)</f>
        <v>1294.2503866662978</v>
      </c>
      <c r="M2" s="540">
        <f>L2*Q2</f>
        <v>1173.2380224508886</v>
      </c>
      <c r="N2" s="541">
        <v>286.68854752738952</v>
      </c>
      <c r="O2" s="541">
        <v>38.769756875012874</v>
      </c>
      <c r="P2" s="542">
        <f>M2+N2-O2</f>
        <v>1421.1568131032652</v>
      </c>
      <c r="Q2" s="802" cm="1">
        <f t="array" ref="Q2:Q9">TRANSPOSE(downstream!O33:V33)</f>
        <v>0.90650003626646747</v>
      </c>
      <c r="R2" s="799">
        <f>S2/P2</f>
        <v>-5.4832297646666139E-3</v>
      </c>
      <c r="S2" s="798">
        <v>-7.7925293378665721</v>
      </c>
      <c r="T2" s="526" t="s">
        <v>501</v>
      </c>
    </row>
    <row r="3" spans="1:20">
      <c r="A3" s="530" t="s">
        <v>14</v>
      </c>
      <c r="B3" s="526" t="s">
        <v>606</v>
      </c>
      <c r="C3" s="526">
        <v>16</v>
      </c>
      <c r="D3" s="526">
        <v>5</v>
      </c>
      <c r="E3" s="580">
        <v>0.95</v>
      </c>
      <c r="F3" s="526">
        <v>1</v>
      </c>
      <c r="G3" s="531">
        <f t="shared" ref="G3:G9" si="1">I3/H3</f>
        <v>0.95</v>
      </c>
      <c r="H3" s="570">
        <v>1413.8677185192548</v>
      </c>
      <c r="I3" s="576">
        <f t="shared" ref="I3:I9" si="2">H3*E3</f>
        <v>1343.1743325932921</v>
      </c>
      <c r="J3" s="573">
        <f>Raw!Q24</f>
        <v>1759.3739934852701</v>
      </c>
      <c r="K3" s="543">
        <f t="shared" si="0"/>
        <v>274.44804270462691</v>
      </c>
      <c r="L3" s="543">
        <v>2033.8220361898971</v>
      </c>
      <c r="M3" s="544">
        <f t="shared" ref="M3:M9" si="3">L3*Q3</f>
        <v>1778.221169735305</v>
      </c>
      <c r="N3" s="545">
        <v>477.63227577285102</v>
      </c>
      <c r="O3" s="545">
        <v>580.23903363705801</v>
      </c>
      <c r="P3" s="546">
        <f t="shared" ref="P3:P9" si="4">M3+N3-O3</f>
        <v>1675.6144118710981</v>
      </c>
      <c r="Q3" s="802">
        <v>0.87432486131705645</v>
      </c>
      <c r="R3" s="799">
        <f t="shared" ref="R3:R9" si="5">S3/P3</f>
        <v>1.7890499022517575E-2</v>
      </c>
      <c r="S3" s="798">
        <v>29.977577997696244</v>
      </c>
      <c r="T3" s="526" t="s">
        <v>502</v>
      </c>
    </row>
    <row r="4" spans="1:20">
      <c r="A4" s="530" t="s">
        <v>15</v>
      </c>
      <c r="B4" s="526" t="s">
        <v>607</v>
      </c>
      <c r="C4" s="526">
        <v>35</v>
      </c>
      <c r="D4" s="526">
        <v>10</v>
      </c>
      <c r="E4" s="580">
        <v>0.95</v>
      </c>
      <c r="F4" s="526">
        <v>1</v>
      </c>
      <c r="G4" s="531">
        <f t="shared" si="1"/>
        <v>0.95</v>
      </c>
      <c r="H4" s="570">
        <v>524.78956542767355</v>
      </c>
      <c r="I4" s="576">
        <f t="shared" si="2"/>
        <v>498.55008715628986</v>
      </c>
      <c r="J4" s="573">
        <f>Raw!R24</f>
        <v>914.6635626470877</v>
      </c>
      <c r="K4" s="543">
        <f t="shared" si="0"/>
        <v>142.68008134214551</v>
      </c>
      <c r="L4" s="543">
        <v>1057.3436439892332</v>
      </c>
      <c r="M4" s="544">
        <f t="shared" si="3"/>
        <v>875.17184779590013</v>
      </c>
      <c r="N4" s="545">
        <v>203.78376210957063</v>
      </c>
      <c r="O4" s="545">
        <v>186.9925300541565</v>
      </c>
      <c r="P4" s="546">
        <f t="shared" si="4"/>
        <v>891.96307985131421</v>
      </c>
      <c r="Q4" s="802">
        <v>0.82770805193851615</v>
      </c>
      <c r="R4" s="799">
        <f t="shared" si="5"/>
        <v>1.9421495818101736E-2</v>
      </c>
      <c r="S4" s="798">
        <v>17.323257225233444</v>
      </c>
      <c r="T4" s="526" t="s">
        <v>503</v>
      </c>
    </row>
    <row r="5" spans="1:20">
      <c r="A5" s="530" t="s">
        <v>16</v>
      </c>
      <c r="B5" s="526" t="s">
        <v>608</v>
      </c>
      <c r="C5" s="526">
        <v>20</v>
      </c>
      <c r="D5" s="526">
        <v>6</v>
      </c>
      <c r="E5" s="580">
        <v>0.95</v>
      </c>
      <c r="F5" s="526">
        <v>1</v>
      </c>
      <c r="G5" s="531">
        <f t="shared" si="1"/>
        <v>0.95</v>
      </c>
      <c r="H5" s="570">
        <v>885.04113954509535</v>
      </c>
      <c r="I5" s="576">
        <f t="shared" si="2"/>
        <v>840.78908256784052</v>
      </c>
      <c r="J5" s="573">
        <f>Raw!S24</f>
        <v>561.73419412376859</v>
      </c>
      <c r="K5" s="543">
        <f t="shared" si="0"/>
        <v>87.625968479918697</v>
      </c>
      <c r="L5" s="543">
        <v>649.36016260368729</v>
      </c>
      <c r="M5" s="544">
        <f t="shared" si="3"/>
        <v>574.8787771475869</v>
      </c>
      <c r="N5" s="545">
        <v>975.8584510825807</v>
      </c>
      <c r="O5" s="545">
        <v>126.03785524480894</v>
      </c>
      <c r="P5" s="546">
        <f t="shared" si="4"/>
        <v>1424.6993729853587</v>
      </c>
      <c r="Q5" s="802">
        <v>0.88530034679451486</v>
      </c>
      <c r="R5" s="799">
        <f t="shared" si="5"/>
        <v>1.4834748508011274E-2</v>
      </c>
      <c r="S5" s="798">
        <v>21.135056897759146</v>
      </c>
      <c r="T5" s="526" t="s">
        <v>507</v>
      </c>
    </row>
    <row r="6" spans="1:20">
      <c r="A6" s="530" t="s">
        <v>17</v>
      </c>
      <c r="B6" s="526" t="s">
        <v>41</v>
      </c>
      <c r="C6" s="526">
        <v>50</v>
      </c>
      <c r="D6" s="526">
        <v>16</v>
      </c>
      <c r="E6" s="580">
        <v>0.95</v>
      </c>
      <c r="F6" s="526">
        <v>1</v>
      </c>
      <c r="G6" s="531">
        <f t="shared" si="1"/>
        <v>0.95</v>
      </c>
      <c r="H6" s="570">
        <v>348.47076409232585</v>
      </c>
      <c r="I6" s="576">
        <f t="shared" si="2"/>
        <v>331.04722588770954</v>
      </c>
      <c r="J6" s="573">
        <f>Raw!T24</f>
        <v>679.14296811459394</v>
      </c>
      <c r="K6" s="543">
        <f t="shared" si="0"/>
        <v>105.94078291814958</v>
      </c>
      <c r="L6" s="543">
        <v>785.08375103274352</v>
      </c>
      <c r="M6" s="544">
        <f t="shared" si="3"/>
        <v>726.27698254714335</v>
      </c>
      <c r="N6" s="545">
        <v>406.90129810000002</v>
      </c>
      <c r="O6" s="545">
        <v>205.85869780612489</v>
      </c>
      <c r="P6" s="546">
        <f t="shared" si="4"/>
        <v>927.31958284101847</v>
      </c>
      <c r="Q6" s="802">
        <v>0.92509491069170335</v>
      </c>
      <c r="R6" s="799">
        <f t="shared" si="5"/>
        <v>1.8814210505345316E-2</v>
      </c>
      <c r="S6" s="798">
        <v>17.446785837299924</v>
      </c>
      <c r="T6" s="526" t="s">
        <v>504</v>
      </c>
    </row>
    <row r="7" spans="1:20">
      <c r="A7" s="530" t="s">
        <v>18</v>
      </c>
      <c r="B7" s="526" t="s">
        <v>609</v>
      </c>
      <c r="C7" s="526">
        <v>40</v>
      </c>
      <c r="D7" s="526">
        <v>13</v>
      </c>
      <c r="E7" s="580">
        <v>0.95</v>
      </c>
      <c r="F7" s="526">
        <v>1</v>
      </c>
      <c r="G7" s="531">
        <f t="shared" si="1"/>
        <v>0.95</v>
      </c>
      <c r="H7" s="570">
        <v>264.14836117574691</v>
      </c>
      <c r="I7" s="576">
        <f t="shared" si="2"/>
        <v>250.94094311695955</v>
      </c>
      <c r="J7" s="573">
        <f>Raw!U24</f>
        <v>583.88016047533142</v>
      </c>
      <c r="K7" s="543">
        <f t="shared" si="0"/>
        <v>91.080559227249637</v>
      </c>
      <c r="L7" s="543">
        <v>674.96071970258106</v>
      </c>
      <c r="M7" s="544">
        <f t="shared" si="3"/>
        <v>611.73678336143792</v>
      </c>
      <c r="N7" s="545">
        <v>194.71805800000001</v>
      </c>
      <c r="O7" s="545">
        <v>97.259920560180831</v>
      </c>
      <c r="P7" s="546">
        <f t="shared" si="4"/>
        <v>709.19492080125713</v>
      </c>
      <c r="Q7" s="802">
        <v>0.90632945815127952</v>
      </c>
      <c r="R7" s="799">
        <f t="shared" si="5"/>
        <v>1.9298416439231934E-2</v>
      </c>
      <c r="S7" s="798">
        <v>13.686338918210771</v>
      </c>
      <c r="T7" s="526" t="s">
        <v>506</v>
      </c>
    </row>
    <row r="8" spans="1:20">
      <c r="A8" s="530" t="s">
        <v>19</v>
      </c>
      <c r="B8" s="526" t="s">
        <v>610</v>
      </c>
      <c r="C8" s="526">
        <v>1</v>
      </c>
      <c r="D8" s="526">
        <v>0</v>
      </c>
      <c r="E8" s="580">
        <v>0.36599999999999999</v>
      </c>
      <c r="F8" s="526">
        <v>1</v>
      </c>
      <c r="G8" s="531">
        <f t="shared" si="1"/>
        <v>0.36599999999999999</v>
      </c>
      <c r="H8" s="570">
        <v>1699.8356289584726</v>
      </c>
      <c r="I8" s="576">
        <f t="shared" si="2"/>
        <v>622.13984019880093</v>
      </c>
      <c r="J8" s="573">
        <f>Raw!V24</f>
        <v>1746.0161090192482</v>
      </c>
      <c r="K8" s="543">
        <f t="shared" si="0"/>
        <v>272.36432130147477</v>
      </c>
      <c r="L8" s="543">
        <v>2018.380430320723</v>
      </c>
      <c r="M8" s="544">
        <f t="shared" si="3"/>
        <v>1699.8360835751289</v>
      </c>
      <c r="N8" s="545">
        <v>0</v>
      </c>
      <c r="O8" s="545">
        <v>0</v>
      </c>
      <c r="P8" s="546">
        <f t="shared" si="4"/>
        <v>1699.8360835751289</v>
      </c>
      <c r="Q8" s="802">
        <v>0.84217824253529006</v>
      </c>
      <c r="R8" s="799">
        <f t="shared" si="5"/>
        <v>3.3747386341089668E-6</v>
      </c>
      <c r="S8" s="798">
        <v>5.7365025028934657E-3</v>
      </c>
      <c r="T8" s="526" t="s">
        <v>505</v>
      </c>
    </row>
    <row r="9" spans="1:20" ht="16.2" thickBot="1">
      <c r="A9" s="532" t="s">
        <v>20</v>
      </c>
      <c r="B9" s="533" t="s">
        <v>44</v>
      </c>
      <c r="C9" s="533">
        <v>35</v>
      </c>
      <c r="D9" s="533">
        <v>10</v>
      </c>
      <c r="E9" s="581">
        <v>0.95</v>
      </c>
      <c r="F9" s="533">
        <v>1</v>
      </c>
      <c r="G9" s="534">
        <f t="shared" si="1"/>
        <v>0.95</v>
      </c>
      <c r="H9" s="571">
        <v>261.68704052518302</v>
      </c>
      <c r="I9" s="557">
        <f t="shared" si="2"/>
        <v>248.60268849892387</v>
      </c>
      <c r="J9" s="574">
        <f>Raw!W24</f>
        <v>241.49649021466152</v>
      </c>
      <c r="K9" s="547">
        <f t="shared" si="0"/>
        <v>37.671489578037637</v>
      </c>
      <c r="L9" s="547">
        <v>279.16797979269916</v>
      </c>
      <c r="M9" s="548">
        <f t="shared" si="3"/>
        <v>271.29686756313095</v>
      </c>
      <c r="N9" s="549">
        <v>0</v>
      </c>
      <c r="O9" s="549">
        <v>0</v>
      </c>
      <c r="P9" s="550">
        <f t="shared" si="4"/>
        <v>271.29686756313095</v>
      </c>
      <c r="Q9" s="802">
        <v>0.97180510373928608</v>
      </c>
      <c r="R9" s="799">
        <f t="shared" si="5"/>
        <v>-5.8497825556587139E-3</v>
      </c>
      <c r="S9" s="798">
        <v>-1.5870276832756558</v>
      </c>
      <c r="T9" s="526" t="s">
        <v>508</v>
      </c>
    </row>
    <row r="10" spans="1:20" ht="16.2" thickBot="1">
      <c r="H10" s="578">
        <f t="shared" ref="H10:M10" si="6">SUM(H2:H9)</f>
        <v>5660.0809464487138</v>
      </c>
      <c r="I10" s="552">
        <f t="shared" si="6"/>
        <v>4384.3728918145307</v>
      </c>
      <c r="J10" s="553">
        <f t="shared" si="6"/>
        <v>7605.9091102978609</v>
      </c>
      <c r="K10" s="554">
        <f t="shared" si="6"/>
        <v>1186.4600000000012</v>
      </c>
      <c r="L10" s="555">
        <f t="shared" si="6"/>
        <v>8792.369110297861</v>
      </c>
      <c r="M10" s="556">
        <f t="shared" si="6"/>
        <v>7710.6565341765227</v>
      </c>
      <c r="N10" s="556">
        <f>SUM(N2:N9)</f>
        <v>2545.5823925923919</v>
      </c>
      <c r="O10" s="556">
        <f>SUM(O2:O9)</f>
        <v>1235.1577941773421</v>
      </c>
      <c r="P10" s="557">
        <f>SUM(P2:P9)</f>
        <v>9021.0811325915711</v>
      </c>
      <c r="Q10" s="535"/>
    </row>
    <row r="11" spans="1:20">
      <c r="L11" s="536">
        <f>J10+K10</f>
        <v>8792.3691102978628</v>
      </c>
      <c r="R11" s="526" t="s">
        <v>456</v>
      </c>
    </row>
    <row r="12" spans="1:20">
      <c r="M12" s="537"/>
      <c r="P12" s="537"/>
      <c r="R12" s="566">
        <f>SUMPRODUCT(P2:P9,R2:R9)/P10</f>
        <v>9.9982690579847357E-3</v>
      </c>
    </row>
    <row r="13" spans="1:20">
      <c r="R13" s="526" t="s">
        <v>459</v>
      </c>
    </row>
    <row r="14" spans="1:20">
      <c r="M14" s="551"/>
      <c r="R14" s="568">
        <f>SUMPRODUCT(C2:C9,P2:P9)/P10</f>
        <v>30.144114789258595</v>
      </c>
    </row>
    <row r="15" spans="1:20">
      <c r="R15" s="535"/>
    </row>
    <row r="17" spans="7:15">
      <c r="O17" s="535"/>
    </row>
    <row r="18" spans="7:15">
      <c r="O18" s="535"/>
    </row>
    <row r="19" spans="7:15">
      <c r="O19" s="538"/>
    </row>
    <row r="20" spans="7:15">
      <c r="O20" s="535"/>
    </row>
    <row r="21" spans="7:15">
      <c r="G21" s="485"/>
      <c r="H21" s="485"/>
      <c r="I21" s="485"/>
      <c r="J21" s="485"/>
      <c r="K21" s="485"/>
      <c r="L21" s="485"/>
      <c r="O21" s="535"/>
    </row>
    <row r="22" spans="7:15">
      <c r="O22" s="535"/>
    </row>
    <row r="23" spans="7:15">
      <c r="O23" s="535"/>
    </row>
    <row r="24" spans="7:15">
      <c r="O24" s="535"/>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CDAD-FE8C-344F-BDF6-992627F18626}">
  <dimension ref="A1:S47"/>
  <sheetViews>
    <sheetView topLeftCell="A15" zoomScale="130" zoomScaleNormal="130" workbookViewId="0">
      <pane xSplit="4" topLeftCell="E1" activePane="topRight" state="frozen"/>
      <selection pane="topRight" activeCell="D30" sqref="D30"/>
    </sheetView>
  </sheetViews>
  <sheetFormatPr defaultColWidth="11" defaultRowHeight="15.6"/>
  <cols>
    <col min="1" max="1" width="11" style="290"/>
    <col min="2" max="2" width="19.19921875" style="290" customWidth="1"/>
    <col min="3" max="3" width="11" style="290"/>
    <col min="4" max="4" width="19.69921875" style="290" customWidth="1"/>
    <col min="5" max="7" width="11" style="290"/>
    <col min="8" max="8" width="27.5" style="290" customWidth="1"/>
    <col min="9" max="11" width="11" style="290"/>
    <col min="12" max="13" width="13.19921875" style="290" customWidth="1"/>
    <col min="14" max="14" width="11.19921875" style="290" customWidth="1"/>
    <col min="15" max="15" width="11" style="290"/>
    <col min="16" max="16" width="15" style="290" customWidth="1"/>
    <col min="17" max="16384" width="11" style="290"/>
  </cols>
  <sheetData>
    <row r="1" spans="1:19" ht="16.2" thickBot="1">
      <c r="A1" s="272" t="s">
        <v>27</v>
      </c>
      <c r="B1" s="272" t="s">
        <v>28</v>
      </c>
      <c r="C1" s="272" t="s">
        <v>29</v>
      </c>
      <c r="D1" s="272" t="s">
        <v>53</v>
      </c>
      <c r="E1" s="272" t="s">
        <v>233</v>
      </c>
      <c r="F1" s="272" t="s">
        <v>357</v>
      </c>
      <c r="G1" s="272" t="s">
        <v>81</v>
      </c>
      <c r="H1" s="272" t="s">
        <v>111</v>
      </c>
      <c r="I1" s="272" t="s">
        <v>123</v>
      </c>
      <c r="J1" s="272" t="s">
        <v>238</v>
      </c>
      <c r="K1" s="272" t="s">
        <v>121</v>
      </c>
      <c r="L1" s="272" t="s">
        <v>239</v>
      </c>
      <c r="M1" s="272" t="s">
        <v>122</v>
      </c>
      <c r="N1" s="272" t="s">
        <v>338</v>
      </c>
      <c r="O1" s="272" t="s">
        <v>335</v>
      </c>
      <c r="P1" s="272" t="s">
        <v>236</v>
      </c>
      <c r="Q1" s="272" t="s">
        <v>73</v>
      </c>
      <c r="R1" s="272" t="s">
        <v>257</v>
      </c>
      <c r="S1" s="290" t="s">
        <v>615</v>
      </c>
    </row>
    <row r="2" spans="1:19">
      <c r="A2" s="351" t="s">
        <v>0</v>
      </c>
      <c r="B2" s="352" t="s">
        <v>351</v>
      </c>
      <c r="C2" s="353" t="s">
        <v>45</v>
      </c>
      <c r="D2" s="354" t="s">
        <v>51</v>
      </c>
      <c r="E2" s="382">
        <v>1.4470000000000001</v>
      </c>
      <c r="F2" s="382" t="s">
        <v>356</v>
      </c>
      <c r="G2" s="355">
        <v>4.4999999999999998E-2</v>
      </c>
      <c r="H2" s="352" t="s">
        <v>51</v>
      </c>
      <c r="I2" s="355">
        <v>15.81</v>
      </c>
      <c r="J2" s="355">
        <v>0.97</v>
      </c>
      <c r="K2" s="356">
        <f>1-J2</f>
        <v>3.0000000000000027E-2</v>
      </c>
      <c r="L2" s="357">
        <f>$J$30</f>
        <v>0.40353851695831355</v>
      </c>
      <c r="M2" s="356">
        <f t="shared" ref="M2:M25" si="0">J2*I$28+K2*(1-L2)*I$29+K2*L2*I$30</f>
        <v>7.0596467846172323E-2</v>
      </c>
      <c r="N2" s="358">
        <f t="shared" ref="N2:N8" si="1">I2*M2</f>
        <v>1.1161301566479844</v>
      </c>
      <c r="O2" s="355">
        <v>0.33100000000000002</v>
      </c>
      <c r="P2" s="356">
        <f>N2+O2</f>
        <v>1.4471301566479844</v>
      </c>
      <c r="Q2" s="284">
        <f>Raw!AD2</f>
        <v>0.94791721522986983</v>
      </c>
      <c r="R2" s="360">
        <f>Raw!AA2/SUM(Raw!$X$24:$Z$24)</f>
        <v>3.4482831146275157E-3</v>
      </c>
      <c r="S2" s="786">
        <f>P2/Q2</f>
        <v>1.5266419191438099</v>
      </c>
    </row>
    <row r="3" spans="1:19" ht="16.2" thickBot="1">
      <c r="A3" s="361" t="s">
        <v>1</v>
      </c>
      <c r="B3" s="362" t="s">
        <v>624</v>
      </c>
      <c r="C3" s="363" t="s">
        <v>45</v>
      </c>
      <c r="D3" s="364" t="s">
        <v>52</v>
      </c>
      <c r="E3" s="389">
        <v>0</v>
      </c>
      <c r="F3" s="389" t="s">
        <v>52</v>
      </c>
      <c r="G3" s="365">
        <v>0</v>
      </c>
      <c r="H3" s="362" t="s">
        <v>313</v>
      </c>
      <c r="I3" s="365">
        <f>I5/10</f>
        <v>0.59726499999999993</v>
      </c>
      <c r="J3" s="365">
        <v>0</v>
      </c>
      <c r="K3" s="366">
        <f>1-J3</f>
        <v>1</v>
      </c>
      <c r="L3" s="367">
        <f>$J$30</f>
        <v>0.40353851695831355</v>
      </c>
      <c r="M3" s="366">
        <f t="shared" si="0"/>
        <v>0.12221559487241061</v>
      </c>
      <c r="N3" s="368">
        <f t="shared" si="1"/>
        <v>7.2995097271470313E-2</v>
      </c>
      <c r="O3" s="369">
        <v>0</v>
      </c>
      <c r="P3" s="366">
        <f t="shared" ref="P3:P25" si="2">N3+O3</f>
        <v>7.2995097271470313E-2</v>
      </c>
      <c r="Q3" s="285">
        <f>Raw!AD3</f>
        <v>1</v>
      </c>
      <c r="R3" s="370">
        <f>Raw!AA3/SUM(Raw!$X$24:$Z$24)</f>
        <v>0</v>
      </c>
      <c r="S3" s="786">
        <f t="shared" ref="S3:S25" si="3">P3/Q3</f>
        <v>7.2995097271470313E-2</v>
      </c>
    </row>
    <row r="4" spans="1:19" ht="16.2" thickBot="1">
      <c r="A4" s="371" t="s">
        <v>2</v>
      </c>
      <c r="B4" s="372" t="s">
        <v>30</v>
      </c>
      <c r="C4" s="373" t="s">
        <v>46</v>
      </c>
      <c r="D4" s="374" t="s">
        <v>71</v>
      </c>
      <c r="E4" s="375">
        <f>I35</f>
        <v>5.4091195734075228</v>
      </c>
      <c r="F4" s="432" t="s">
        <v>51</v>
      </c>
      <c r="G4" s="376">
        <v>3.827</v>
      </c>
      <c r="H4" s="372" t="s">
        <v>352</v>
      </c>
      <c r="I4" s="376">
        <v>53.85</v>
      </c>
      <c r="J4" s="376">
        <v>0</v>
      </c>
      <c r="K4" s="375">
        <f t="shared" ref="K4:K23" si="4">1-J4</f>
        <v>1</v>
      </c>
      <c r="L4" s="377">
        <f>I41</f>
        <v>0.68215491617849011</v>
      </c>
      <c r="M4" s="375">
        <f t="shared" si="0"/>
        <v>6.7981391795411766E-2</v>
      </c>
      <c r="N4" s="378">
        <f t="shared" si="1"/>
        <v>3.6607979481829238</v>
      </c>
      <c r="O4" s="379">
        <f>E4-N4</f>
        <v>1.748321625224599</v>
      </c>
      <c r="P4" s="375">
        <f t="shared" si="2"/>
        <v>5.4091195734075228</v>
      </c>
      <c r="Q4" s="286">
        <f>Raw!AD4</f>
        <v>0.98533588361444391</v>
      </c>
      <c r="R4" s="380">
        <f>Raw!AA4/SUM(Raw!$X$24:$Z$24)</f>
        <v>1.3706771164047067E-3</v>
      </c>
      <c r="S4" s="786">
        <f t="shared" si="3"/>
        <v>5.4896199999999995</v>
      </c>
    </row>
    <row r="5" spans="1:19">
      <c r="A5" s="351" t="s">
        <v>3</v>
      </c>
      <c r="B5" s="352" t="s">
        <v>142</v>
      </c>
      <c r="C5" s="353" t="s">
        <v>46</v>
      </c>
      <c r="D5" s="354" t="s">
        <v>70</v>
      </c>
      <c r="E5" s="356">
        <f>I47*Q5</f>
        <v>0.39053549999999992</v>
      </c>
      <c r="F5" s="382" t="s">
        <v>352</v>
      </c>
      <c r="G5" s="355">
        <v>10.845000000000001</v>
      </c>
      <c r="H5" s="352" t="s">
        <v>379</v>
      </c>
      <c r="I5" s="355">
        <f>6.287*upstream!Y20</f>
        <v>5.9726499999999989</v>
      </c>
      <c r="J5" s="355">
        <v>0.92300000000000004</v>
      </c>
      <c r="K5" s="356">
        <f t="shared" si="4"/>
        <v>7.6999999999999957E-2</v>
      </c>
      <c r="L5" s="357">
        <f>$J$30</f>
        <v>0.40353851695831355</v>
      </c>
      <c r="M5" s="356">
        <f t="shared" si="0"/>
        <v>7.3097600805175619E-2</v>
      </c>
      <c r="N5" s="358">
        <f t="shared" si="1"/>
        <v>0.43658638544903206</v>
      </c>
      <c r="O5" s="359">
        <v>0</v>
      </c>
      <c r="P5" s="356">
        <f t="shared" si="2"/>
        <v>0.43658638544903206</v>
      </c>
      <c r="Q5" s="284">
        <f>Raw!AD5</f>
        <v>0.94999999999999984</v>
      </c>
      <c r="R5" s="360">
        <f>Raw!AA5/SUM(Raw!$X$24:$Z$24)</f>
        <v>3.1062337546249166E-2</v>
      </c>
      <c r="S5" s="786">
        <f t="shared" si="3"/>
        <v>0.45956461626213907</v>
      </c>
    </row>
    <row r="6" spans="1:19" ht="16.2" thickBot="1">
      <c r="A6" s="361" t="s">
        <v>4</v>
      </c>
      <c r="B6" s="362" t="s">
        <v>143</v>
      </c>
      <c r="C6" s="363" t="s">
        <v>46</v>
      </c>
      <c r="D6" s="364" t="s">
        <v>70</v>
      </c>
      <c r="E6" s="366">
        <f>I47*Q6</f>
        <v>0.39053550000000004</v>
      </c>
      <c r="F6" s="389" t="s">
        <v>352</v>
      </c>
      <c r="G6" s="366">
        <f>G5</f>
        <v>10.845000000000001</v>
      </c>
      <c r="H6" s="362" t="s">
        <v>381</v>
      </c>
      <c r="I6" s="365">
        <f>6.287*upstream!Y32</f>
        <v>5.9726500000000007</v>
      </c>
      <c r="J6" s="365">
        <v>0.92300000000000004</v>
      </c>
      <c r="K6" s="366">
        <f t="shared" si="4"/>
        <v>7.6999999999999957E-2</v>
      </c>
      <c r="L6" s="367">
        <f>$J$30</f>
        <v>0.40353851695831355</v>
      </c>
      <c r="M6" s="366">
        <f t="shared" si="0"/>
        <v>7.3097600805175619E-2</v>
      </c>
      <c r="N6" s="368">
        <f t="shared" si="1"/>
        <v>0.43658638544903222</v>
      </c>
      <c r="O6" s="381">
        <v>0</v>
      </c>
      <c r="P6" s="366">
        <f t="shared" si="2"/>
        <v>0.43658638544903222</v>
      </c>
      <c r="Q6" s="289">
        <f>Raw!AD6</f>
        <v>0.95000000000000007</v>
      </c>
      <c r="R6" s="370">
        <f>Raw!AA6/SUM(Raw!$X$24:$Z$24)</f>
        <v>9.5771525152573856E-3</v>
      </c>
      <c r="S6" s="786">
        <f t="shared" si="3"/>
        <v>0.45956461626213913</v>
      </c>
    </row>
    <row r="7" spans="1:19">
      <c r="A7" s="351" t="s">
        <v>5</v>
      </c>
      <c r="B7" s="352" t="s">
        <v>144</v>
      </c>
      <c r="C7" s="353" t="s">
        <v>47</v>
      </c>
      <c r="D7" s="354" t="s">
        <v>55</v>
      </c>
      <c r="E7" s="356">
        <f>I46*Q7</f>
        <v>0.11562</v>
      </c>
      <c r="F7" s="382" t="s">
        <v>352</v>
      </c>
      <c r="G7" s="356">
        <f>G5</f>
        <v>10.845000000000001</v>
      </c>
      <c r="H7" s="352" t="s">
        <v>199</v>
      </c>
      <c r="I7" s="355">
        <v>1.18</v>
      </c>
      <c r="J7" s="355">
        <f>0.839</f>
        <v>0.83899999999999997</v>
      </c>
      <c r="K7" s="356">
        <f t="shared" si="4"/>
        <v>0.16100000000000003</v>
      </c>
      <c r="L7" s="357">
        <f>$J$30</f>
        <v>0.40353851695831355</v>
      </c>
      <c r="M7" s="356">
        <f t="shared" si="0"/>
        <v>7.7567710774458107E-2</v>
      </c>
      <c r="N7" s="358">
        <f t="shared" si="1"/>
        <v>9.1529898713860566E-2</v>
      </c>
      <c r="O7" s="359">
        <v>0</v>
      </c>
      <c r="P7" s="356">
        <f t="shared" si="2"/>
        <v>9.1529898713860566E-2</v>
      </c>
      <c r="Q7" s="287">
        <f>Raw!AD7</f>
        <v>1</v>
      </c>
      <c r="R7" s="360">
        <f>Raw!AA7/SUM(Raw!$X$24:$Z$24)</f>
        <v>0</v>
      </c>
      <c r="S7" s="786">
        <f t="shared" si="3"/>
        <v>9.1529898713860566E-2</v>
      </c>
    </row>
    <row r="8" spans="1:19" ht="16.2" thickBot="1">
      <c r="A8" s="361" t="s">
        <v>6</v>
      </c>
      <c r="B8" s="362" t="s">
        <v>145</v>
      </c>
      <c r="C8" s="363" t="s">
        <v>47</v>
      </c>
      <c r="D8" s="364" t="s">
        <v>54</v>
      </c>
      <c r="E8" s="366">
        <f>I46*Q8</f>
        <v>0.11562</v>
      </c>
      <c r="F8" s="389" t="s">
        <v>352</v>
      </c>
      <c r="G8" s="366">
        <f>G5</f>
        <v>10.845000000000001</v>
      </c>
      <c r="H8" s="362" t="s">
        <v>200</v>
      </c>
      <c r="I8" s="365">
        <v>1.18</v>
      </c>
      <c r="J8" s="365">
        <f>0.839</f>
        <v>0.83899999999999997</v>
      </c>
      <c r="K8" s="366">
        <f t="shared" si="4"/>
        <v>0.16100000000000003</v>
      </c>
      <c r="L8" s="386">
        <f>$J$30</f>
        <v>0.40353851695831355</v>
      </c>
      <c r="M8" s="366">
        <f t="shared" si="0"/>
        <v>7.7567710774458107E-2</v>
      </c>
      <c r="N8" s="368">
        <f t="shared" si="1"/>
        <v>9.1529898713860566E-2</v>
      </c>
      <c r="O8" s="381">
        <v>0</v>
      </c>
      <c r="P8" s="366">
        <f t="shared" si="2"/>
        <v>9.1529898713860566E-2</v>
      </c>
      <c r="Q8" s="289">
        <f>Raw!AD8</f>
        <v>1</v>
      </c>
      <c r="R8" s="370">
        <f>Raw!AA8/SUM(Raw!$X$24:$Z$24)</f>
        <v>0</v>
      </c>
      <c r="S8" s="786">
        <f t="shared" si="3"/>
        <v>9.1529898713860566E-2</v>
      </c>
    </row>
    <row r="9" spans="1:19">
      <c r="A9" s="351" t="s">
        <v>7</v>
      </c>
      <c r="B9" s="352" t="s">
        <v>31</v>
      </c>
      <c r="C9" s="353" t="s">
        <v>48</v>
      </c>
      <c r="D9" s="354" t="s">
        <v>354</v>
      </c>
      <c r="E9" s="382">
        <v>0.41</v>
      </c>
      <c r="F9" s="382" t="s">
        <v>199</v>
      </c>
      <c r="G9" s="355">
        <v>4.0759999999999996</v>
      </c>
      <c r="H9" s="352" t="s">
        <v>201</v>
      </c>
      <c r="I9" s="355">
        <f>4.245</f>
        <v>4.2450000000000001</v>
      </c>
      <c r="J9" s="355">
        <v>0.48199999999999998</v>
      </c>
      <c r="K9" s="356">
        <f t="shared" si="4"/>
        <v>0.51800000000000002</v>
      </c>
      <c r="L9" s="612">
        <f>$J$30</f>
        <v>0.40353851695831355</v>
      </c>
      <c r="M9" s="356">
        <f t="shared" si="0"/>
        <v>9.6565678143908693E-2</v>
      </c>
      <c r="N9" s="358">
        <f t="shared" ref="N9:N25" si="5">I9*M9</f>
        <v>0.40992130372089242</v>
      </c>
      <c r="O9" s="382">
        <v>0</v>
      </c>
      <c r="P9" s="356">
        <f t="shared" si="2"/>
        <v>0.40992130372089242</v>
      </c>
      <c r="Q9" s="287">
        <f>Raw!AD9</f>
        <v>0.70767999999999998</v>
      </c>
      <c r="R9" s="360">
        <f>Raw!AA9/SUM(Raw!$X$24:$Z$24)</f>
        <v>0</v>
      </c>
      <c r="S9" s="786">
        <f t="shared" si="3"/>
        <v>0.57924669867862932</v>
      </c>
    </row>
    <row r="10" spans="1:19">
      <c r="A10" s="383" t="s">
        <v>8</v>
      </c>
      <c r="B10" s="272" t="s">
        <v>32</v>
      </c>
      <c r="C10" s="384" t="s">
        <v>48</v>
      </c>
      <c r="D10" s="385" t="s">
        <v>57</v>
      </c>
      <c r="E10" s="369">
        <v>0.55500000000000005</v>
      </c>
      <c r="F10" s="369" t="str">
        <f>F9</f>
        <v>Wrought Alloys</v>
      </c>
      <c r="G10" s="304">
        <f>G9</f>
        <v>4.0759999999999996</v>
      </c>
      <c r="H10" s="272" t="s">
        <v>57</v>
      </c>
      <c r="I10" s="322">
        <v>5.899</v>
      </c>
      <c r="J10" s="322">
        <f>0.527</f>
        <v>0.52700000000000002</v>
      </c>
      <c r="K10" s="304">
        <f t="shared" si="4"/>
        <v>0.47299999999999998</v>
      </c>
      <c r="L10" s="613">
        <f t="shared" ref="L10:L25" si="6">$J$30</f>
        <v>0.40353851695831355</v>
      </c>
      <c r="M10" s="304">
        <f t="shared" si="0"/>
        <v>9.4170976374650217E-2</v>
      </c>
      <c r="N10" s="387">
        <f t="shared" si="5"/>
        <v>0.55551458963406164</v>
      </c>
      <c r="O10" s="369">
        <v>0</v>
      </c>
      <c r="P10" s="304">
        <f t="shared" si="2"/>
        <v>0.55551458963406164</v>
      </c>
      <c r="Q10" s="288">
        <f>Raw!AD10</f>
        <v>0.73855000000000004</v>
      </c>
      <c r="R10" s="388">
        <f>Raw!AA10/SUM(Raw!$X$24:$Z$24)</f>
        <v>0</v>
      </c>
      <c r="S10" s="786">
        <f t="shared" si="3"/>
        <v>0.75216923652299994</v>
      </c>
    </row>
    <row r="11" spans="1:19">
      <c r="A11" s="383" t="s">
        <v>9</v>
      </c>
      <c r="B11" s="272" t="s">
        <v>146</v>
      </c>
      <c r="C11" s="384" t="s">
        <v>48</v>
      </c>
      <c r="D11" s="385" t="s">
        <v>355</v>
      </c>
      <c r="E11" s="369">
        <f>E10</f>
        <v>0.55500000000000005</v>
      </c>
      <c r="F11" s="369" t="str">
        <f>F9</f>
        <v>Wrought Alloys</v>
      </c>
      <c r="G11" s="304">
        <f>G9</f>
        <v>4.0759999999999996</v>
      </c>
      <c r="H11" s="272" t="s">
        <v>202</v>
      </c>
      <c r="I11" s="304">
        <f>I10</f>
        <v>5.899</v>
      </c>
      <c r="J11" s="304">
        <f>J10</f>
        <v>0.52700000000000002</v>
      </c>
      <c r="K11" s="304">
        <f t="shared" si="4"/>
        <v>0.47299999999999998</v>
      </c>
      <c r="L11" s="613">
        <f t="shared" si="6"/>
        <v>0.40353851695831355</v>
      </c>
      <c r="M11" s="304">
        <f t="shared" si="0"/>
        <v>9.4170976374650217E-2</v>
      </c>
      <c r="N11" s="387">
        <f t="shared" si="5"/>
        <v>0.55551458963406164</v>
      </c>
      <c r="O11" s="369">
        <v>0</v>
      </c>
      <c r="P11" s="304">
        <f t="shared" si="2"/>
        <v>0.55551458963406164</v>
      </c>
      <c r="Q11" s="288">
        <f>Raw!AD11</f>
        <v>0.73855000000000004</v>
      </c>
      <c r="R11" s="388">
        <f>Raw!AA11/SUM(Raw!$X$24:$Z$24)</f>
        <v>0</v>
      </c>
      <c r="S11" s="786">
        <f t="shared" si="3"/>
        <v>0.75216923652299994</v>
      </c>
    </row>
    <row r="12" spans="1:19">
      <c r="A12" s="383" t="s">
        <v>78</v>
      </c>
      <c r="B12" s="272" t="s">
        <v>147</v>
      </c>
      <c r="C12" s="384" t="s">
        <v>48</v>
      </c>
      <c r="D12" s="385" t="s">
        <v>280</v>
      </c>
      <c r="E12" s="369">
        <f>E9</f>
        <v>0.41</v>
      </c>
      <c r="F12" s="369" t="str">
        <f>F9</f>
        <v>Wrought Alloys</v>
      </c>
      <c r="G12" s="304">
        <f>G9</f>
        <v>4.0759999999999996</v>
      </c>
      <c r="H12" s="272" t="s">
        <v>353</v>
      </c>
      <c r="I12" s="304">
        <f>I9</f>
        <v>4.2450000000000001</v>
      </c>
      <c r="J12" s="304">
        <f>J9</f>
        <v>0.48199999999999998</v>
      </c>
      <c r="K12" s="304">
        <f t="shared" si="4"/>
        <v>0.51800000000000002</v>
      </c>
      <c r="L12" s="613">
        <f t="shared" si="6"/>
        <v>0.40353851695831355</v>
      </c>
      <c r="M12" s="304">
        <f t="shared" si="0"/>
        <v>9.6565678143908693E-2</v>
      </c>
      <c r="N12" s="387">
        <f t="shared" si="5"/>
        <v>0.40992130372089242</v>
      </c>
      <c r="O12" s="369">
        <v>0</v>
      </c>
      <c r="P12" s="304">
        <f t="shared" si="2"/>
        <v>0.40992130372089242</v>
      </c>
      <c r="Q12" s="457">
        <f>Raw!AD12</f>
        <v>0.8</v>
      </c>
      <c r="R12" s="388">
        <f>Raw!AA12/SUM(Raw!$X$24:$Z$24)</f>
        <v>0</v>
      </c>
      <c r="S12" s="786">
        <f t="shared" si="3"/>
        <v>0.51240162965111546</v>
      </c>
    </row>
    <row r="13" spans="1:19">
      <c r="A13" s="383" t="s">
        <v>10</v>
      </c>
      <c r="B13" s="272" t="s">
        <v>149</v>
      </c>
      <c r="C13" s="384" t="s">
        <v>48</v>
      </c>
      <c r="D13" s="385" t="s">
        <v>59</v>
      </c>
      <c r="E13" s="369">
        <f>677.23/1000</f>
        <v>0.67723</v>
      </c>
      <c r="F13" s="369" t="s">
        <v>200</v>
      </c>
      <c r="G13" s="322">
        <v>2.29</v>
      </c>
      <c r="H13" s="272" t="s">
        <v>116</v>
      </c>
      <c r="I13" s="322">
        <f>5.16</f>
        <v>5.16</v>
      </c>
      <c r="J13" s="322">
        <v>0.64800000000000002</v>
      </c>
      <c r="K13" s="304">
        <f t="shared" si="4"/>
        <v>0.35199999999999998</v>
      </c>
      <c r="L13" s="613">
        <f t="shared" si="6"/>
        <v>0.40353851695831355</v>
      </c>
      <c r="M13" s="304">
        <f t="shared" si="0"/>
        <v>8.7731889395088539E-2</v>
      </c>
      <c r="N13" s="387">
        <f t="shared" si="5"/>
        <v>0.45269654927865688</v>
      </c>
      <c r="O13" s="369">
        <v>0</v>
      </c>
      <c r="P13" s="304">
        <f t="shared" si="2"/>
        <v>0.45269654927865688</v>
      </c>
      <c r="Q13" s="288">
        <f>Raw!AE13/Raw!AC13</f>
        <v>0.95684803001876162</v>
      </c>
      <c r="R13" s="388">
        <f>Raw!AA13/SUM(Raw!$X$24:$Z$24)</f>
        <v>4.489460308791474E-3</v>
      </c>
      <c r="S13" s="786">
        <f t="shared" si="3"/>
        <v>0.47311227601083167</v>
      </c>
    </row>
    <row r="14" spans="1:19">
      <c r="A14" s="383" t="s">
        <v>11</v>
      </c>
      <c r="B14" s="272" t="s">
        <v>304</v>
      </c>
      <c r="C14" s="384" t="s">
        <v>48</v>
      </c>
      <c r="D14" s="385" t="s">
        <v>59</v>
      </c>
      <c r="E14" s="369">
        <f>E13</f>
        <v>0.67723</v>
      </c>
      <c r="F14" s="369" t="str">
        <f>F13</f>
        <v>Foundry Alloys</v>
      </c>
      <c r="G14" s="304">
        <f>G13</f>
        <v>2.29</v>
      </c>
      <c r="H14" s="272" t="s">
        <v>115</v>
      </c>
      <c r="I14" s="304">
        <f>I13</f>
        <v>5.16</v>
      </c>
      <c r="J14" s="304">
        <v>0.64800000000000002</v>
      </c>
      <c r="K14" s="304">
        <f t="shared" si="4"/>
        <v>0.35199999999999998</v>
      </c>
      <c r="L14" s="613">
        <f t="shared" si="6"/>
        <v>0.40353851695831355</v>
      </c>
      <c r="M14" s="304">
        <f t="shared" si="0"/>
        <v>8.7731889395088539E-2</v>
      </c>
      <c r="N14" s="387">
        <f t="shared" si="5"/>
        <v>0.45269654927865688</v>
      </c>
      <c r="O14" s="369">
        <v>0</v>
      </c>
      <c r="P14" s="304">
        <f t="shared" si="2"/>
        <v>0.45269654927865688</v>
      </c>
      <c r="Q14" s="288">
        <f>Raw!AE14/Raw!AC14</f>
        <v>0.95684803001876162</v>
      </c>
      <c r="R14" s="388">
        <f>Raw!AA14/SUM(Raw!$X$24:$Z$24)</f>
        <v>3.0789966862790181E-3</v>
      </c>
      <c r="S14" s="786">
        <f t="shared" si="3"/>
        <v>0.47311227601083167</v>
      </c>
    </row>
    <row r="15" spans="1:19" ht="16.2" thickBot="1">
      <c r="A15" s="361" t="s">
        <v>12</v>
      </c>
      <c r="B15" s="362" t="s">
        <v>148</v>
      </c>
      <c r="C15" s="363" t="s">
        <v>48</v>
      </c>
      <c r="D15" s="364" t="s">
        <v>59</v>
      </c>
      <c r="E15" s="389">
        <f>E13</f>
        <v>0.67723</v>
      </c>
      <c r="F15" s="389" t="str">
        <f>F13</f>
        <v>Foundry Alloys</v>
      </c>
      <c r="G15" s="366">
        <f>G13</f>
        <v>2.29</v>
      </c>
      <c r="H15" s="362" t="s">
        <v>114</v>
      </c>
      <c r="I15" s="366">
        <f>I13</f>
        <v>5.16</v>
      </c>
      <c r="J15" s="366">
        <v>0.64800000000000002</v>
      </c>
      <c r="K15" s="366">
        <f t="shared" si="4"/>
        <v>0.35199999999999998</v>
      </c>
      <c r="L15" s="614">
        <f t="shared" si="6"/>
        <v>0.40353851695831355</v>
      </c>
      <c r="M15" s="366">
        <f t="shared" si="0"/>
        <v>8.7731889395088539E-2</v>
      </c>
      <c r="N15" s="368">
        <f t="shared" si="5"/>
        <v>0.45269654927865688</v>
      </c>
      <c r="O15" s="389">
        <v>0</v>
      </c>
      <c r="P15" s="366">
        <f t="shared" si="2"/>
        <v>0.45269654927865688</v>
      </c>
      <c r="Q15" s="288">
        <f>Raw!AE15/Raw!AC15</f>
        <v>0.95684803001876173</v>
      </c>
      <c r="R15" s="370">
        <f>Raw!AA15/SUM(Raw!$X$24:$Z$24)</f>
        <v>1.4085071757909502E-3</v>
      </c>
      <c r="S15" s="786">
        <f t="shared" si="3"/>
        <v>0.47311227601083161</v>
      </c>
    </row>
    <row r="16" spans="1:19">
      <c r="A16" s="351" t="s">
        <v>13</v>
      </c>
      <c r="B16" s="352" t="s">
        <v>37</v>
      </c>
      <c r="C16" s="352" t="s">
        <v>49</v>
      </c>
      <c r="D16" s="390" t="s">
        <v>60</v>
      </c>
      <c r="E16" s="355">
        <v>0.3</v>
      </c>
      <c r="F16" s="382" t="s">
        <v>75</v>
      </c>
      <c r="G16" s="382">
        <v>0</v>
      </c>
      <c r="H16" s="352" t="s">
        <v>37</v>
      </c>
      <c r="I16" s="356">
        <f t="shared" ref="I16:I23" si="7">E16/M16</f>
        <v>2.4546785564738358</v>
      </c>
      <c r="J16" s="391">
        <v>0</v>
      </c>
      <c r="K16" s="392">
        <f t="shared" si="4"/>
        <v>1</v>
      </c>
      <c r="L16" s="386">
        <f t="shared" si="6"/>
        <v>0.40353851695831355</v>
      </c>
      <c r="M16" s="356">
        <f t="shared" si="0"/>
        <v>0.12221559487241061</v>
      </c>
      <c r="N16" s="358">
        <f t="shared" si="5"/>
        <v>0.3</v>
      </c>
      <c r="O16" s="382">
        <v>0</v>
      </c>
      <c r="P16" s="356">
        <f t="shared" si="2"/>
        <v>0.3</v>
      </c>
      <c r="Q16" s="287">
        <f>Raw!AD16</f>
        <v>0.90650003626646747</v>
      </c>
      <c r="R16" s="360">
        <f>Raw!AA16/SUM(Raw!$X$24:$Z$24)</f>
        <v>0</v>
      </c>
      <c r="S16" s="786">
        <f t="shared" si="3"/>
        <v>0.33094317484595709</v>
      </c>
    </row>
    <row r="17" spans="1:19">
      <c r="A17" s="383" t="s">
        <v>14</v>
      </c>
      <c r="B17" s="272" t="s">
        <v>117</v>
      </c>
      <c r="C17" s="272" t="s">
        <v>49</v>
      </c>
      <c r="D17" s="393" t="s">
        <v>60</v>
      </c>
      <c r="E17" s="369">
        <v>0.3</v>
      </c>
      <c r="F17" s="369" t="str">
        <f>F16</f>
        <v>Semi</v>
      </c>
      <c r="G17" s="369">
        <v>0</v>
      </c>
      <c r="H17" s="272" t="s">
        <v>117</v>
      </c>
      <c r="I17" s="322">
        <f>1.18+0.09+0.296+1.67</f>
        <v>3.2359999999999998</v>
      </c>
      <c r="J17" s="322">
        <f>1.67/I17</f>
        <v>0.51606922126081589</v>
      </c>
      <c r="K17" s="304">
        <f t="shared" si="4"/>
        <v>0.48393077873918411</v>
      </c>
      <c r="L17" s="386">
        <f t="shared" si="6"/>
        <v>0.40353851695831355</v>
      </c>
      <c r="M17" s="304">
        <f t="shared" si="0"/>
        <v>9.4752664267674605E-2</v>
      </c>
      <c r="N17" s="387">
        <f t="shared" si="5"/>
        <v>0.30661962157019501</v>
      </c>
      <c r="O17" s="369">
        <v>0</v>
      </c>
      <c r="P17" s="304">
        <f t="shared" si="2"/>
        <v>0.30661962157019501</v>
      </c>
      <c r="Q17" s="288">
        <f>Raw!AD17</f>
        <v>0.87432486131705645</v>
      </c>
      <c r="R17" s="388">
        <f>Raw!AA17/SUM(Raw!$X$24:$Z$24)</f>
        <v>0</v>
      </c>
      <c r="S17" s="786">
        <f t="shared" si="3"/>
        <v>0.35069301484612081</v>
      </c>
    </row>
    <row r="18" spans="1:19">
      <c r="A18" s="383" t="s">
        <v>15</v>
      </c>
      <c r="B18" s="272" t="s">
        <v>118</v>
      </c>
      <c r="C18" s="272" t="s">
        <v>49</v>
      </c>
      <c r="D18" s="393" t="s">
        <v>60</v>
      </c>
      <c r="E18" s="369">
        <v>0.3</v>
      </c>
      <c r="F18" s="369" t="str">
        <f>F16</f>
        <v>Semi</v>
      </c>
      <c r="G18" s="369">
        <v>0</v>
      </c>
      <c r="H18" s="272" t="s">
        <v>118</v>
      </c>
      <c r="I18" s="322">
        <f>I17</f>
        <v>3.2359999999999998</v>
      </c>
      <c r="J18" s="322">
        <f>J17</f>
        <v>0.51606922126081589</v>
      </c>
      <c r="K18" s="304">
        <f t="shared" si="4"/>
        <v>0.48393077873918411</v>
      </c>
      <c r="L18" s="386">
        <f t="shared" si="6"/>
        <v>0.40353851695831355</v>
      </c>
      <c r="M18" s="304">
        <f t="shared" si="0"/>
        <v>9.4752664267674605E-2</v>
      </c>
      <c r="N18" s="387">
        <f t="shared" si="5"/>
        <v>0.30661962157019501</v>
      </c>
      <c r="O18" s="369">
        <v>0</v>
      </c>
      <c r="P18" s="304">
        <f t="shared" si="2"/>
        <v>0.30661962157019501</v>
      </c>
      <c r="Q18" s="288">
        <f>Raw!AD18</f>
        <v>0.82770805193851615</v>
      </c>
      <c r="R18" s="388">
        <f>Raw!AA18/SUM(Raw!$X$24:$Z$24)</f>
        <v>0</v>
      </c>
      <c r="S18" s="786">
        <f t="shared" si="3"/>
        <v>0.37044416911504363</v>
      </c>
    </row>
    <row r="19" spans="1:19">
      <c r="A19" s="383" t="s">
        <v>16</v>
      </c>
      <c r="B19" s="272" t="s">
        <v>40</v>
      </c>
      <c r="C19" s="272" t="s">
        <v>49</v>
      </c>
      <c r="D19" s="393" t="s">
        <v>60</v>
      </c>
      <c r="E19" s="322">
        <v>0.3</v>
      </c>
      <c r="F19" s="369" t="str">
        <f>F16</f>
        <v>Semi</v>
      </c>
      <c r="G19" s="369">
        <v>0</v>
      </c>
      <c r="H19" s="272" t="s">
        <v>40</v>
      </c>
      <c r="I19" s="304">
        <f t="shared" si="7"/>
        <v>2.4546785564738358</v>
      </c>
      <c r="J19" s="301">
        <v>0</v>
      </c>
      <c r="K19" s="394">
        <f t="shared" si="4"/>
        <v>1</v>
      </c>
      <c r="L19" s="386">
        <f t="shared" si="6"/>
        <v>0.40353851695831355</v>
      </c>
      <c r="M19" s="304">
        <f t="shared" si="0"/>
        <v>0.12221559487241061</v>
      </c>
      <c r="N19" s="387">
        <f t="shared" si="5"/>
        <v>0.3</v>
      </c>
      <c r="O19" s="369">
        <v>0</v>
      </c>
      <c r="P19" s="304">
        <f t="shared" si="2"/>
        <v>0.3</v>
      </c>
      <c r="Q19" s="288">
        <f>Raw!AD19</f>
        <v>0.88530034679451486</v>
      </c>
      <c r="R19" s="388">
        <f>Raw!AA19/SUM(Raw!$X$24:$Z$24)</f>
        <v>0</v>
      </c>
      <c r="S19" s="786">
        <f t="shared" si="3"/>
        <v>0.33886804753464345</v>
      </c>
    </row>
    <row r="20" spans="1:19">
      <c r="A20" s="383" t="s">
        <v>17</v>
      </c>
      <c r="B20" s="272" t="s">
        <v>41</v>
      </c>
      <c r="C20" s="272" t="s">
        <v>49</v>
      </c>
      <c r="D20" s="393" t="s">
        <v>60</v>
      </c>
      <c r="E20" s="322">
        <v>0.3</v>
      </c>
      <c r="F20" s="369" t="str">
        <f>F16</f>
        <v>Semi</v>
      </c>
      <c r="G20" s="369">
        <v>0</v>
      </c>
      <c r="H20" s="272" t="s">
        <v>41</v>
      </c>
      <c r="I20" s="304">
        <f t="shared" si="7"/>
        <v>2.4546785564738358</v>
      </c>
      <c r="J20" s="301">
        <v>0</v>
      </c>
      <c r="K20" s="394">
        <f t="shared" si="4"/>
        <v>1</v>
      </c>
      <c r="L20" s="386">
        <f t="shared" si="6"/>
        <v>0.40353851695831355</v>
      </c>
      <c r="M20" s="304">
        <f t="shared" si="0"/>
        <v>0.12221559487241061</v>
      </c>
      <c r="N20" s="387">
        <f t="shared" si="5"/>
        <v>0.3</v>
      </c>
      <c r="O20" s="369">
        <v>0</v>
      </c>
      <c r="P20" s="304">
        <f t="shared" si="2"/>
        <v>0.3</v>
      </c>
      <c r="Q20" s="288">
        <f>Raw!AD20</f>
        <v>0.92509491069170335</v>
      </c>
      <c r="R20" s="388">
        <f>Raw!AA20/SUM(Raw!$X$24:$Z$24)</f>
        <v>0</v>
      </c>
      <c r="S20" s="786">
        <f t="shared" si="3"/>
        <v>0.32429105006716208</v>
      </c>
    </row>
    <row r="21" spans="1:19">
      <c r="A21" s="383" t="s">
        <v>18</v>
      </c>
      <c r="B21" s="272" t="s">
        <v>42</v>
      </c>
      <c r="C21" s="272" t="s">
        <v>49</v>
      </c>
      <c r="D21" s="393" t="s">
        <v>60</v>
      </c>
      <c r="E21" s="322">
        <v>0.3</v>
      </c>
      <c r="F21" s="369" t="str">
        <f>F16</f>
        <v>Semi</v>
      </c>
      <c r="G21" s="369">
        <v>0</v>
      </c>
      <c r="H21" s="272" t="s">
        <v>42</v>
      </c>
      <c r="I21" s="304">
        <f t="shared" si="7"/>
        <v>2.4546785564738358</v>
      </c>
      <c r="J21" s="301">
        <v>0</v>
      </c>
      <c r="K21" s="394">
        <f t="shared" si="4"/>
        <v>1</v>
      </c>
      <c r="L21" s="386">
        <f t="shared" si="6"/>
        <v>0.40353851695831355</v>
      </c>
      <c r="M21" s="304">
        <f t="shared" si="0"/>
        <v>0.12221559487241061</v>
      </c>
      <c r="N21" s="387">
        <f t="shared" si="5"/>
        <v>0.3</v>
      </c>
      <c r="O21" s="369">
        <v>0</v>
      </c>
      <c r="P21" s="304">
        <f t="shared" si="2"/>
        <v>0.3</v>
      </c>
      <c r="Q21" s="288">
        <f>Raw!AD21</f>
        <v>0.90632945815127952</v>
      </c>
      <c r="R21" s="388">
        <f>Raw!AA21/SUM(Raw!$X$24:$Z$24)</f>
        <v>0</v>
      </c>
      <c r="S21" s="786">
        <f t="shared" si="3"/>
        <v>0.3310054608750515</v>
      </c>
    </row>
    <row r="22" spans="1:19">
      <c r="A22" s="383" t="s">
        <v>19</v>
      </c>
      <c r="B22" s="272" t="s">
        <v>43</v>
      </c>
      <c r="C22" s="272" t="s">
        <v>49</v>
      </c>
      <c r="D22" s="393" t="s">
        <v>60</v>
      </c>
      <c r="E22" s="369">
        <v>0.3</v>
      </c>
      <c r="F22" s="369" t="str">
        <f>F16</f>
        <v>Semi</v>
      </c>
      <c r="G22" s="369">
        <v>0</v>
      </c>
      <c r="H22" s="272" t="s">
        <v>120</v>
      </c>
      <c r="I22" s="322">
        <v>11.03</v>
      </c>
      <c r="J22" s="301">
        <v>0.38200000000000001</v>
      </c>
      <c r="K22" s="394">
        <f t="shared" si="4"/>
        <v>0.61799999999999999</v>
      </c>
      <c r="L22" s="386">
        <f t="shared" si="6"/>
        <v>0.40353851695831355</v>
      </c>
      <c r="M22" s="304">
        <f t="shared" si="0"/>
        <v>0.10188723763114976</v>
      </c>
      <c r="N22" s="387">
        <f t="shared" si="5"/>
        <v>1.1238162310715818</v>
      </c>
      <c r="O22" s="369">
        <v>0</v>
      </c>
      <c r="P22" s="304">
        <f t="shared" si="2"/>
        <v>1.1238162310715818</v>
      </c>
      <c r="Q22" s="288">
        <f>Raw!AD22</f>
        <v>0.84217824253529006</v>
      </c>
      <c r="R22" s="388">
        <f>Raw!AA22/SUM(Raw!$X$24:$Z$24)</f>
        <v>0</v>
      </c>
      <c r="S22" s="786">
        <f t="shared" si="3"/>
        <v>1.3344161298782189</v>
      </c>
    </row>
    <row r="23" spans="1:19" ht="16.2" thickBot="1">
      <c r="A23" s="361" t="s">
        <v>20</v>
      </c>
      <c r="B23" s="362" t="s">
        <v>44</v>
      </c>
      <c r="C23" s="362" t="s">
        <v>49</v>
      </c>
      <c r="D23" s="395" t="s">
        <v>60</v>
      </c>
      <c r="E23" s="365">
        <v>0.3</v>
      </c>
      <c r="F23" s="389" t="str">
        <f>F16</f>
        <v>Semi</v>
      </c>
      <c r="G23" s="389">
        <v>0</v>
      </c>
      <c r="H23" s="362" t="s">
        <v>151</v>
      </c>
      <c r="I23" s="366">
        <f t="shared" si="7"/>
        <v>2.4546785564738358</v>
      </c>
      <c r="J23" s="396">
        <v>0</v>
      </c>
      <c r="K23" s="397">
        <f t="shared" si="4"/>
        <v>1</v>
      </c>
      <c r="L23" s="367">
        <f t="shared" si="6"/>
        <v>0.40353851695831355</v>
      </c>
      <c r="M23" s="366">
        <f t="shared" si="0"/>
        <v>0.12221559487241061</v>
      </c>
      <c r="N23" s="368">
        <f t="shared" si="5"/>
        <v>0.3</v>
      </c>
      <c r="O23" s="389">
        <v>0</v>
      </c>
      <c r="P23" s="366">
        <f t="shared" si="2"/>
        <v>0.3</v>
      </c>
      <c r="Q23" s="289">
        <f>Raw!AD23</f>
        <v>0.97180510373928608</v>
      </c>
      <c r="R23" s="370">
        <f>Raw!AA23/SUM(Raw!$X$24:$Z$24)</f>
        <v>0</v>
      </c>
      <c r="S23" s="786">
        <f t="shared" si="3"/>
        <v>0.30870387369408525</v>
      </c>
    </row>
    <row r="24" spans="1:19">
      <c r="A24" s="383" t="s">
        <v>21</v>
      </c>
      <c r="B24" s="272" t="s">
        <v>150</v>
      </c>
      <c r="C24" s="272" t="s">
        <v>26</v>
      </c>
      <c r="D24" s="393" t="s">
        <v>60</v>
      </c>
      <c r="E24" s="369">
        <v>0</v>
      </c>
      <c r="F24" s="369" t="s">
        <v>60</v>
      </c>
      <c r="G24" s="369">
        <v>0</v>
      </c>
      <c r="H24" s="272" t="s">
        <v>119</v>
      </c>
      <c r="I24" s="322">
        <v>0</v>
      </c>
      <c r="J24" s="301">
        <v>0</v>
      </c>
      <c r="K24" s="394">
        <v>0</v>
      </c>
      <c r="L24" s="398">
        <f t="shared" si="6"/>
        <v>0.40353851695831355</v>
      </c>
      <c r="M24" s="304">
        <f t="shared" si="0"/>
        <v>0</v>
      </c>
      <c r="N24" s="387">
        <f t="shared" si="5"/>
        <v>0</v>
      </c>
      <c r="O24" s="369">
        <v>0</v>
      </c>
      <c r="P24" s="304">
        <f t="shared" si="2"/>
        <v>0</v>
      </c>
      <c r="Q24" s="293">
        <v>1</v>
      </c>
      <c r="R24" s="304">
        <v>0</v>
      </c>
      <c r="S24" s="786">
        <f t="shared" si="3"/>
        <v>0</v>
      </c>
    </row>
    <row r="25" spans="1:19" ht="16.2" thickBot="1">
      <c r="A25" s="361" t="s">
        <v>50</v>
      </c>
      <c r="B25" s="362" t="s">
        <v>25</v>
      </c>
      <c r="C25" s="362" t="s">
        <v>26</v>
      </c>
      <c r="D25" s="399" t="s">
        <v>25</v>
      </c>
      <c r="E25" s="369">
        <v>0</v>
      </c>
      <c r="F25" s="369"/>
      <c r="G25" s="369">
        <v>0</v>
      </c>
      <c r="H25" s="272" t="s">
        <v>112</v>
      </c>
      <c r="I25" s="322">
        <v>0</v>
      </c>
      <c r="J25" s="301">
        <v>0</v>
      </c>
      <c r="K25" s="394">
        <v>0</v>
      </c>
      <c r="L25" s="398">
        <f t="shared" si="6"/>
        <v>0.40353851695831355</v>
      </c>
      <c r="M25" s="304">
        <f t="shared" si="0"/>
        <v>0</v>
      </c>
      <c r="N25" s="387">
        <f t="shared" si="5"/>
        <v>0</v>
      </c>
      <c r="O25" s="369">
        <v>0</v>
      </c>
      <c r="P25" s="304">
        <f t="shared" si="2"/>
        <v>0</v>
      </c>
      <c r="Q25" s="293">
        <v>1</v>
      </c>
      <c r="R25" s="304">
        <f>Raw!AA25/SUM(Raw!$X$24:$Z$24)</f>
        <v>0</v>
      </c>
      <c r="S25" s="786">
        <f t="shared" si="3"/>
        <v>0</v>
      </c>
    </row>
    <row r="26" spans="1:19">
      <c r="A26" s="272"/>
      <c r="B26" s="272"/>
      <c r="C26" s="272"/>
      <c r="D26" s="272"/>
      <c r="E26" s="272"/>
      <c r="F26" s="272"/>
      <c r="G26" s="272"/>
      <c r="H26" s="272"/>
      <c r="N26" s="272"/>
      <c r="O26" s="272"/>
      <c r="P26" s="272"/>
      <c r="Q26" s="272"/>
      <c r="R26" s="369"/>
    </row>
    <row r="27" spans="1:19">
      <c r="A27" s="272"/>
      <c r="B27" s="272"/>
      <c r="C27" s="272"/>
      <c r="D27" s="272"/>
      <c r="E27" s="272"/>
      <c r="F27" s="272"/>
      <c r="G27" s="272"/>
      <c r="H27" s="272" t="s">
        <v>124</v>
      </c>
      <c r="I27" s="272"/>
      <c r="J27" s="272"/>
      <c r="N27" s="272"/>
      <c r="O27" s="272"/>
      <c r="P27" s="272"/>
      <c r="Q27" s="272"/>
      <c r="R27" s="272"/>
    </row>
    <row r="28" spans="1:19">
      <c r="A28" s="272"/>
      <c r="B28" s="272"/>
      <c r="C28" s="272"/>
      <c r="D28" s="272"/>
      <c r="E28" s="272"/>
      <c r="F28" s="272"/>
      <c r="G28" s="272"/>
      <c r="H28" s="272" t="s">
        <v>237</v>
      </c>
      <c r="I28" s="601">
        <f>'CF and cost'!D11/1000</f>
        <v>6.9000000000000006E-2</v>
      </c>
      <c r="N28" s="272"/>
      <c r="O28" s="272"/>
      <c r="P28" s="272"/>
      <c r="Q28" s="272"/>
      <c r="R28" s="272"/>
    </row>
    <row r="29" spans="1:19">
      <c r="A29" s="272"/>
      <c r="B29" s="272"/>
      <c r="C29" s="272"/>
      <c r="D29" s="272"/>
      <c r="E29" s="272"/>
      <c r="F29" s="272"/>
      <c r="G29" s="272"/>
      <c r="H29" s="272" t="s">
        <v>431</v>
      </c>
      <c r="I29" s="601">
        <f>'CF and cost'!D16/1000</f>
        <v>0.20076657011781618</v>
      </c>
      <c r="J29" s="602">
        <f>'CF and cost'!D24</f>
        <v>0.59646148304168656</v>
      </c>
      <c r="N29" s="272"/>
      <c r="O29" s="272"/>
      <c r="P29" s="272"/>
      <c r="Q29" s="272"/>
      <c r="R29" s="272"/>
    </row>
    <row r="30" spans="1:19">
      <c r="H30" s="272" t="s">
        <v>432</v>
      </c>
      <c r="I30" s="601">
        <f>'CF and cost'!D15/1000</f>
        <v>6.1111111111111106E-3</v>
      </c>
      <c r="J30" s="400">
        <f>'CF and cost'!D25</f>
        <v>0.40353851695831355</v>
      </c>
    </row>
    <row r="31" spans="1:19">
      <c r="H31" s="272" t="s">
        <v>435</v>
      </c>
      <c r="I31" s="603">
        <f>I29*J29+I30*J30</f>
        <v>0.12221559487241064</v>
      </c>
    </row>
    <row r="32" spans="1:19">
      <c r="H32" s="272"/>
      <c r="I32" s="558"/>
    </row>
    <row r="33" spans="7:15">
      <c r="H33" s="290" t="s">
        <v>30</v>
      </c>
    </row>
    <row r="34" spans="7:15">
      <c r="H34" s="290" t="s">
        <v>235</v>
      </c>
      <c r="I34" s="291">
        <f>5489.62/1000</f>
        <v>5.4896199999999995</v>
      </c>
      <c r="N34" s="272"/>
      <c r="O34" s="272"/>
    </row>
    <row r="35" spans="7:15">
      <c r="G35" s="290" t="s">
        <v>444</v>
      </c>
      <c r="H35" s="294" t="s">
        <v>234</v>
      </c>
      <c r="I35" s="295">
        <f>I34*Q4</f>
        <v>5.4091195734075228</v>
      </c>
    </row>
    <row r="36" spans="7:15">
      <c r="H36" s="290" t="s">
        <v>447</v>
      </c>
      <c r="I36" s="291">
        <f>1.481</f>
        <v>1.4810000000000001</v>
      </c>
      <c r="J36" s="290" t="s">
        <v>446</v>
      </c>
    </row>
    <row r="37" spans="7:15">
      <c r="H37" s="294" t="s">
        <v>448</v>
      </c>
      <c r="I37" s="296">
        <f>271.3/1000*Q4</f>
        <v>0.26732162522459862</v>
      </c>
      <c r="J37" s="290" t="s">
        <v>445</v>
      </c>
      <c r="O37" s="272"/>
    </row>
    <row r="38" spans="7:15">
      <c r="G38" s="290" t="s">
        <v>438</v>
      </c>
      <c r="H38" s="297" t="s">
        <v>443</v>
      </c>
      <c r="I38" s="298">
        <f>I36+I37</f>
        <v>1.7483216252245988</v>
      </c>
      <c r="J38" s="290" t="s">
        <v>234</v>
      </c>
    </row>
    <row r="39" spans="7:15">
      <c r="G39" s="290" t="s">
        <v>434</v>
      </c>
      <c r="H39" s="290" t="s">
        <v>441</v>
      </c>
      <c r="I39" s="292">
        <f>I35-I38</f>
        <v>3.6607979481829238</v>
      </c>
      <c r="J39" s="290" t="s">
        <v>439</v>
      </c>
    </row>
    <row r="40" spans="7:15">
      <c r="G40" s="290" t="s">
        <v>433</v>
      </c>
      <c r="H40" s="290" t="s">
        <v>442</v>
      </c>
      <c r="I40" s="292">
        <f>I39/I4</f>
        <v>6.7981391795411766E-2</v>
      </c>
      <c r="J40" s="290" t="s">
        <v>440</v>
      </c>
    </row>
    <row r="41" spans="7:15">
      <c r="G41" s="290" t="s">
        <v>436</v>
      </c>
      <c r="H41" s="290" t="s">
        <v>430</v>
      </c>
      <c r="I41" s="299">
        <f>(I29-I40)/(I29-I30)</f>
        <v>0.68215491617849011</v>
      </c>
    </row>
    <row r="42" spans="7:15">
      <c r="H42" s="290" t="s">
        <v>437</v>
      </c>
      <c r="I42" s="559">
        <f>1-I41</f>
        <v>0.31784508382150989</v>
      </c>
    </row>
    <row r="44" spans="7:15">
      <c r="H44" s="290" t="s">
        <v>328</v>
      </c>
    </row>
    <row r="45" spans="7:15">
      <c r="H45" s="290" t="s">
        <v>332</v>
      </c>
      <c r="I45" s="291">
        <f>526.71/1000</f>
        <v>0.52671000000000001</v>
      </c>
      <c r="J45" s="290" t="s">
        <v>331</v>
      </c>
    </row>
    <row r="46" spans="7:15">
      <c r="H46" s="290" t="s">
        <v>333</v>
      </c>
      <c r="I46" s="291">
        <f>115.62/1000</f>
        <v>0.11562</v>
      </c>
      <c r="J46" s="290" t="s">
        <v>330</v>
      </c>
    </row>
    <row r="47" spans="7:15">
      <c r="H47" s="290" t="s">
        <v>334</v>
      </c>
      <c r="I47" s="292">
        <f>I45-I46</f>
        <v>0.41109000000000001</v>
      </c>
      <c r="J47" s="290" t="s">
        <v>329</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0105-DD49-F149-B66E-A10B4374E1FC}">
  <dimension ref="A1:S32"/>
  <sheetViews>
    <sheetView workbookViewId="0">
      <selection activeCell="H36" sqref="H36"/>
    </sheetView>
  </sheetViews>
  <sheetFormatPr defaultColWidth="11" defaultRowHeight="15.6"/>
  <cols>
    <col min="1" max="1" width="23.69921875" customWidth="1"/>
    <col min="5" max="5" width="16.8984375" customWidth="1"/>
    <col min="7" max="7" width="16.09765625" customWidth="1"/>
    <col min="9" max="9" width="17.5" customWidth="1"/>
    <col min="11" max="11" width="15" customWidth="1"/>
    <col min="13" max="13" width="17.5" customWidth="1"/>
    <col min="17" max="17" width="25.59765625" customWidth="1"/>
  </cols>
  <sheetData>
    <row r="1" spans="1:19" ht="16.2" thickBot="1">
      <c r="A1" t="s">
        <v>241</v>
      </c>
      <c r="B1" t="s">
        <v>242</v>
      </c>
      <c r="C1" t="s">
        <v>254</v>
      </c>
      <c r="E1" s="57" t="s">
        <v>497</v>
      </c>
      <c r="F1" t="s">
        <v>493</v>
      </c>
      <c r="G1" t="s">
        <v>239</v>
      </c>
      <c r="H1" t="s">
        <v>494</v>
      </c>
      <c r="I1" t="s">
        <v>495</v>
      </c>
      <c r="K1" s="57" t="s">
        <v>496</v>
      </c>
      <c r="L1" t="s">
        <v>493</v>
      </c>
      <c r="M1" t="s">
        <v>239</v>
      </c>
      <c r="N1" t="s">
        <v>494</v>
      </c>
      <c r="O1" t="s">
        <v>495</v>
      </c>
      <c r="Q1" s="57" t="s">
        <v>648</v>
      </c>
      <c r="R1" s="807" t="s">
        <v>649</v>
      </c>
      <c r="S1" s="807" t="s">
        <v>647</v>
      </c>
    </row>
    <row r="2" spans="1:19">
      <c r="A2" s="6" t="s">
        <v>240</v>
      </c>
      <c r="B2" s="620">
        <f>69/1000</f>
        <v>6.9000000000000006E-2</v>
      </c>
      <c r="C2" s="8" t="s">
        <v>255</v>
      </c>
      <c r="E2" t="s">
        <v>498</v>
      </c>
      <c r="F2">
        <v>2020</v>
      </c>
      <c r="G2" s="616">
        <f>G4</f>
        <v>0.40353851695831355</v>
      </c>
      <c r="H2" s="611">
        <f>H4</f>
        <v>200.7665701178162</v>
      </c>
      <c r="I2" s="611">
        <f>I4</f>
        <v>122.21559487241063</v>
      </c>
      <c r="K2" t="s">
        <v>498</v>
      </c>
      <c r="L2">
        <v>2020</v>
      </c>
      <c r="M2" s="617">
        <f>M4</f>
        <v>0.40353851695831355</v>
      </c>
      <c r="N2" s="611">
        <f>N4</f>
        <v>200.7665701178162</v>
      </c>
      <c r="O2" s="496">
        <f>O4</f>
        <v>122.21559487241063</v>
      </c>
      <c r="R2" s="816" t="s">
        <v>7</v>
      </c>
      <c r="S2" s="817" cm="1">
        <f t="array" ref="S2:S5">'Scenario A'!D28:D31</f>
        <v>0.89</v>
      </c>
    </row>
    <row r="3" spans="1:19">
      <c r="A3" s="9" t="s">
        <v>252</v>
      </c>
      <c r="B3" s="621">
        <f>Process!I29</f>
        <v>0.20076657011781618</v>
      </c>
      <c r="C3" s="10" t="s">
        <v>255</v>
      </c>
      <c r="E3" t="s">
        <v>499</v>
      </c>
      <c r="F3">
        <v>2021</v>
      </c>
      <c r="G3" s="616">
        <f>G4</f>
        <v>0.40353851695831355</v>
      </c>
      <c r="H3" s="611">
        <f>H4</f>
        <v>200.7665701178162</v>
      </c>
      <c r="I3" s="611">
        <f>I4</f>
        <v>122.21559487241063</v>
      </c>
      <c r="K3" t="s">
        <v>499</v>
      </c>
      <c r="L3">
        <v>2021</v>
      </c>
      <c r="M3" s="617">
        <f>M4</f>
        <v>0.40353851695831355</v>
      </c>
      <c r="N3" s="611">
        <f>N4</f>
        <v>200.7665701178162</v>
      </c>
      <c r="O3" s="496">
        <f>O4</f>
        <v>122.21559487241063</v>
      </c>
      <c r="R3" s="818" t="s">
        <v>8</v>
      </c>
      <c r="S3" s="819">
        <v>0.89655983999999989</v>
      </c>
    </row>
    <row r="4" spans="1:19">
      <c r="A4" s="9" t="s">
        <v>253</v>
      </c>
      <c r="B4" s="621">
        <f>Process!I30</f>
        <v>6.1111111111111106E-3</v>
      </c>
      <c r="C4" s="10" t="s">
        <v>255</v>
      </c>
      <c r="F4">
        <v>2022</v>
      </c>
      <c r="G4" s="616">
        <v>0.40353851695831355</v>
      </c>
      <c r="H4" s="49">
        <v>200.7665701178162</v>
      </c>
      <c r="I4" s="49">
        <v>122.21559487241063</v>
      </c>
      <c r="L4">
        <v>2022</v>
      </c>
      <c r="M4" s="615">
        <v>0.40353851695831355</v>
      </c>
      <c r="N4" s="49">
        <v>200.7665701178162</v>
      </c>
      <c r="O4" s="49">
        <v>122.21559487241063</v>
      </c>
      <c r="R4" s="818" t="s">
        <v>9</v>
      </c>
      <c r="S4" s="819">
        <v>0.89655983999999989</v>
      </c>
    </row>
    <row r="5" spans="1:19">
      <c r="A5" s="9" t="s">
        <v>247</v>
      </c>
      <c r="B5" s="615">
        <f>7.8/1000</f>
        <v>7.7999999999999996E-3</v>
      </c>
      <c r="C5" s="10" t="s">
        <v>255</v>
      </c>
      <c r="F5">
        <v>2023</v>
      </c>
      <c r="G5" s="616">
        <v>0.43131030288279187</v>
      </c>
      <c r="H5" s="49">
        <v>201.24600545974377</v>
      </c>
      <c r="I5" s="49">
        <v>117.08231507523344</v>
      </c>
      <c r="L5">
        <v>2023</v>
      </c>
      <c r="M5" s="615">
        <v>0.45946260706920544</v>
      </c>
      <c r="N5" s="49">
        <v>199.82703875516137</v>
      </c>
      <c r="O5" s="49">
        <v>110.82181360899648</v>
      </c>
      <c r="R5" s="820" t="s">
        <v>78</v>
      </c>
      <c r="S5" s="821">
        <v>0.9</v>
      </c>
    </row>
    <row r="6" spans="1:19" ht="16.2" thickBot="1">
      <c r="A6" s="9" t="s">
        <v>243</v>
      </c>
      <c r="B6" s="615">
        <f>32.5/1000</f>
        <v>3.2500000000000001E-2</v>
      </c>
      <c r="C6" s="10" t="s">
        <v>255</v>
      </c>
      <c r="F6">
        <v>2024</v>
      </c>
      <c r="G6" s="616">
        <v>0.45056253796155821</v>
      </c>
      <c r="H6" s="49">
        <v>208.12234874822795</v>
      </c>
      <c r="I6" s="49">
        <v>117.10365282169312</v>
      </c>
      <c r="L6">
        <v>2024</v>
      </c>
      <c r="M6" s="615">
        <v>0.51538669718009733</v>
      </c>
      <c r="N6" s="49">
        <v>198.67066465921232</v>
      </c>
      <c r="O6" s="49">
        <v>99.428032345582324</v>
      </c>
      <c r="R6" s="816" t="s">
        <v>13</v>
      </c>
      <c r="S6" s="817" cm="1">
        <f t="array" ref="S6:S13">TRANSPOSE('Scenario A'!C24:J24)</f>
        <v>0.93148838125481248</v>
      </c>
    </row>
    <row r="7" spans="1:19">
      <c r="A7" s="6" t="s">
        <v>246</v>
      </c>
      <c r="B7" s="101">
        <f>'CF and cost'!H7/100</f>
        <v>2.7999999999999997E-2</v>
      </c>
      <c r="C7" s="8" t="s">
        <v>256</v>
      </c>
      <c r="F7">
        <v>2025</v>
      </c>
      <c r="G7" s="616">
        <v>0.48682996665271139</v>
      </c>
      <c r="H7" s="49">
        <v>205.80955533143975</v>
      </c>
      <c r="I7" s="49">
        <v>108.59036839105885</v>
      </c>
      <c r="L7">
        <v>2025</v>
      </c>
      <c r="M7" s="615">
        <v>0.57131078729098927</v>
      </c>
      <c r="N7" s="49">
        <v>197.21258402516258</v>
      </c>
      <c r="O7" s="49">
        <v>88.034251082168169</v>
      </c>
      <c r="R7" s="818" t="s">
        <v>14</v>
      </c>
      <c r="S7" s="819">
        <v>0.90838834169632632</v>
      </c>
    </row>
    <row r="8" spans="1:19">
      <c r="A8" s="9" t="s">
        <v>248</v>
      </c>
      <c r="B8" s="92">
        <f>'CF and cost'!H8/100</f>
        <v>3.0000000000000001E-3</v>
      </c>
      <c r="C8" s="10" t="s">
        <v>256</v>
      </c>
      <c r="F8">
        <v>2026</v>
      </c>
      <c r="G8" s="616">
        <v>0.53106575927564659</v>
      </c>
      <c r="H8" s="49">
        <v>199.46818803539122</v>
      </c>
      <c r="I8" s="49">
        <v>96.7828651672788</v>
      </c>
      <c r="L8">
        <v>2026</v>
      </c>
      <c r="M8" s="615">
        <v>0.62390106132443102</v>
      </c>
      <c r="N8" s="49">
        <v>198.7300640675013</v>
      </c>
      <c r="O8" s="49">
        <v>78.55489488680881</v>
      </c>
      <c r="R8" s="818" t="s">
        <v>15</v>
      </c>
      <c r="S8" s="819">
        <v>0.87269827538336975</v>
      </c>
    </row>
    <row r="9" spans="1:19">
      <c r="A9" s="9" t="s">
        <v>244</v>
      </c>
      <c r="B9" s="97">
        <f>2.47/100</f>
        <v>2.4700000000000003E-2</v>
      </c>
      <c r="C9" s="10" t="s">
        <v>256</v>
      </c>
      <c r="F9">
        <v>2027</v>
      </c>
      <c r="G9" s="616">
        <v>0.57860225244626451</v>
      </c>
      <c r="H9" s="49">
        <v>194.31331023749007</v>
      </c>
      <c r="I9" s="49">
        <v>85.41909390762676</v>
      </c>
      <c r="L9">
        <v>2027</v>
      </c>
      <c r="M9" s="615">
        <v>0.67649133535787276</v>
      </c>
      <c r="N9" s="49">
        <v>200.74091383986041</v>
      </c>
      <c r="O9" s="49">
        <v>69.075538691449452</v>
      </c>
      <c r="R9" s="818" t="s">
        <v>16</v>
      </c>
      <c r="S9" s="822">
        <v>0.93722262143268442</v>
      </c>
    </row>
    <row r="10" spans="1:19">
      <c r="A10" s="9" t="s">
        <v>245</v>
      </c>
      <c r="B10" s="97">
        <f>1.63/100</f>
        <v>1.6299999999999999E-2</v>
      </c>
      <c r="C10" s="10" t="s">
        <v>256</v>
      </c>
      <c r="F10">
        <v>2028</v>
      </c>
      <c r="G10" s="616">
        <v>0.61558784561248892</v>
      </c>
      <c r="H10" s="49">
        <v>186.10751631674307</v>
      </c>
      <c r="I10" s="49">
        <v>75.303917018215486</v>
      </c>
      <c r="L10">
        <v>2028</v>
      </c>
      <c r="M10" s="615">
        <v>0.72908160939131439</v>
      </c>
      <c r="N10" s="49">
        <v>203.53244993130525</v>
      </c>
      <c r="O10" s="49">
        <v>59.596182496090108</v>
      </c>
      <c r="R10" s="818" t="s">
        <v>17</v>
      </c>
      <c r="S10" s="822">
        <v>0.94740472647978013</v>
      </c>
    </row>
    <row r="11" spans="1:19">
      <c r="A11" s="9" t="s">
        <v>249</v>
      </c>
      <c r="B11" s="97">
        <f>0.41/100</f>
        <v>4.0999999999999995E-3</v>
      </c>
      <c r="C11" s="10" t="s">
        <v>256</v>
      </c>
      <c r="F11">
        <v>2029</v>
      </c>
      <c r="G11" s="616">
        <v>0.64374979241388253</v>
      </c>
      <c r="H11" s="49">
        <v>179.43075630434871</v>
      </c>
      <c r="I11" s="49">
        <v>67.856270689954243</v>
      </c>
      <c r="L11">
        <v>2029</v>
      </c>
      <c r="M11" s="615">
        <v>0.78167188342475613</v>
      </c>
      <c r="N11" s="49">
        <v>207.66882103828709</v>
      </c>
      <c r="O11" s="49">
        <v>50.116826300730764</v>
      </c>
      <c r="R11" s="818" t="s">
        <v>18</v>
      </c>
      <c r="S11" s="822">
        <v>0.95101214852933424</v>
      </c>
    </row>
    <row r="12" spans="1:19">
      <c r="A12" s="9" t="s">
        <v>250</v>
      </c>
      <c r="B12" s="97">
        <f>(2.22-1.11*Process!J30)/Process!J29/100</f>
        <v>2.9709751535664918E-2</v>
      </c>
      <c r="C12" s="10" t="s">
        <v>256</v>
      </c>
      <c r="F12">
        <v>2030</v>
      </c>
      <c r="G12" s="616">
        <v>0.66602886704575437</v>
      </c>
      <c r="H12" s="49">
        <v>176.46057506711057</v>
      </c>
      <c r="I12" s="49">
        <v>63.002914586644664</v>
      </c>
      <c r="L12">
        <v>2030</v>
      </c>
      <c r="M12" s="615">
        <v>0.83426215745819787</v>
      </c>
      <c r="N12" s="49">
        <v>214.43021593807373</v>
      </c>
      <c r="O12" s="49">
        <v>40.637470105371413</v>
      </c>
      <c r="R12" s="818" t="s">
        <v>19</v>
      </c>
      <c r="S12" s="822">
        <v>0.90001018126478871</v>
      </c>
    </row>
    <row r="13" spans="1:19" ht="16.2" thickBot="1">
      <c r="A13" s="11" t="s">
        <v>251</v>
      </c>
      <c r="B13" s="589">
        <f>1.11/100</f>
        <v>1.11E-2</v>
      </c>
      <c r="C13" s="13" t="s">
        <v>256</v>
      </c>
      <c r="F13">
        <v>2031</v>
      </c>
      <c r="G13" s="616">
        <v>0.68098733501015163</v>
      </c>
      <c r="H13" s="49">
        <v>177.54743043905253</v>
      </c>
      <c r="I13" s="49">
        <v>60.801468215968313</v>
      </c>
      <c r="L13">
        <v>2031</v>
      </c>
      <c r="M13" s="615">
        <v>0.8674097259665583</v>
      </c>
      <c r="N13" s="49">
        <v>214.43021593807376</v>
      </c>
      <c r="O13" s="49">
        <v>33.732198306519358</v>
      </c>
      <c r="R13" s="820" t="s">
        <v>20</v>
      </c>
      <c r="S13" s="823">
        <v>0.98399112247552312</v>
      </c>
    </row>
    <row r="14" spans="1:19">
      <c r="A14" s="6" t="s">
        <v>336</v>
      </c>
      <c r="B14" s="246">
        <f>Process!I37</f>
        <v>0.26732162522459862</v>
      </c>
      <c r="C14" s="8" t="s">
        <v>258</v>
      </c>
      <c r="F14">
        <v>2032</v>
      </c>
      <c r="G14" s="616">
        <v>0.69216913828626325</v>
      </c>
      <c r="H14" s="49">
        <v>178.74779663365732</v>
      </c>
      <c r="I14" s="49">
        <v>59.254010778919898</v>
      </c>
      <c r="L14">
        <v>2032</v>
      </c>
      <c r="M14" s="615">
        <v>0.90055729447491872</v>
      </c>
      <c r="N14" s="49">
        <v>214.43021593807373</v>
      </c>
      <c r="O14" s="49">
        <v>26.826926507667295</v>
      </c>
    </row>
    <row r="15" spans="1:19" ht="16.2" thickBot="1">
      <c r="A15" s="9" t="s">
        <v>337</v>
      </c>
      <c r="B15" s="198">
        <f>Process!I36</f>
        <v>1.4810000000000001</v>
      </c>
      <c r="C15" s="10" t="str">
        <f>C14</f>
        <v>kgCO2/kg-in</v>
      </c>
      <c r="F15">
        <v>2033</v>
      </c>
      <c r="G15" s="616">
        <v>0.69757266760275971</v>
      </c>
      <c r="H15" s="49">
        <v>181.43036466938733</v>
      </c>
      <c r="I15" s="49">
        <v>59.132445282615954</v>
      </c>
      <c r="L15">
        <v>2033</v>
      </c>
      <c r="M15" s="615">
        <v>0.93370486298327915</v>
      </c>
      <c r="N15" s="49">
        <v>214.43021593807373</v>
      </c>
      <c r="O15" s="49">
        <v>19.921654708815229</v>
      </c>
    </row>
    <row r="16" spans="1:19">
      <c r="A16" s="6" t="s">
        <v>311</v>
      </c>
      <c r="B16" s="246">
        <f>upstream!U12</f>
        <v>0.16573175150255115</v>
      </c>
      <c r="C16" s="8" t="s">
        <v>277</v>
      </c>
      <c r="F16">
        <v>2034</v>
      </c>
      <c r="G16" s="616">
        <v>0.70584009697905825</v>
      </c>
      <c r="H16" s="49">
        <v>182.51223347533661</v>
      </c>
      <c r="I16" s="49">
        <v>58.001248158556955</v>
      </c>
      <c r="L16">
        <v>2034</v>
      </c>
      <c r="M16" s="615">
        <v>0.96685243149163957</v>
      </c>
      <c r="N16" s="49">
        <v>214.43021593807373</v>
      </c>
      <c r="O16" s="49">
        <v>13.016382909963172</v>
      </c>
    </row>
    <row r="17" spans="1:15">
      <c r="A17" s="9" t="s">
        <v>312</v>
      </c>
      <c r="B17" s="198">
        <f>Display!BU13</f>
        <v>0.64775000000000005</v>
      </c>
      <c r="C17" s="10" t="s">
        <v>277</v>
      </c>
      <c r="F17">
        <v>2035</v>
      </c>
      <c r="G17" s="616">
        <v>0.71017533718534409</v>
      </c>
      <c r="H17" s="49">
        <v>183.11228257885074</v>
      </c>
      <c r="I17" s="49">
        <v>57.410415949547861</v>
      </c>
      <c r="L17">
        <v>2035</v>
      </c>
      <c r="M17" s="615">
        <v>1</v>
      </c>
      <c r="N17" s="49">
        <v>0</v>
      </c>
      <c r="O17" s="49">
        <v>6.1111111111111107</v>
      </c>
    </row>
    <row r="18" spans="1:15">
      <c r="A18" s="9" t="s">
        <v>309</v>
      </c>
      <c r="B18" s="198">
        <f>upstream!AA18</f>
        <v>0.79200297408660392</v>
      </c>
      <c r="C18" s="10" t="s">
        <v>277</v>
      </c>
      <c r="F18">
        <v>2036</v>
      </c>
      <c r="G18" s="616">
        <v>0.71282867712270859</v>
      </c>
      <c r="H18" s="97">
        <v>182.51255086226499</v>
      </c>
      <c r="I18" s="49">
        <v>56.768545921908824</v>
      </c>
      <c r="L18">
        <v>2036</v>
      </c>
      <c r="M18" s="615">
        <v>1</v>
      </c>
      <c r="N18" s="49">
        <v>0</v>
      </c>
      <c r="O18" s="49">
        <v>6.1111111111111107</v>
      </c>
    </row>
    <row r="19" spans="1:15">
      <c r="A19" s="9" t="s">
        <v>310</v>
      </c>
      <c r="B19" s="198">
        <f>upstream!AA30</f>
        <v>0.94775000000000009</v>
      </c>
      <c r="C19" s="10" t="s">
        <v>277</v>
      </c>
      <c r="F19">
        <v>2037</v>
      </c>
      <c r="G19" s="616">
        <v>0.71431643420083724</v>
      </c>
      <c r="H19" s="97">
        <v>180.64560173601225</v>
      </c>
      <c r="I19" s="49">
        <v>55.972746747773392</v>
      </c>
      <c r="L19">
        <v>2037</v>
      </c>
      <c r="M19" s="615">
        <v>1</v>
      </c>
      <c r="N19" s="49">
        <v>0</v>
      </c>
      <c r="O19" s="49">
        <v>6.1111111111111107</v>
      </c>
    </row>
    <row r="20" spans="1:15">
      <c r="A20" s="9" t="s">
        <v>314</v>
      </c>
      <c r="B20" s="332">
        <f>B18-B16</f>
        <v>0.62627122258405277</v>
      </c>
      <c r="C20" s="10" t="s">
        <v>277</v>
      </c>
      <c r="F20">
        <v>2038</v>
      </c>
      <c r="G20" s="616">
        <v>0.71392249081855819</v>
      </c>
      <c r="H20" s="49">
        <v>177.54386380194606</v>
      </c>
      <c r="I20" s="49">
        <v>55.154165993023284</v>
      </c>
      <c r="L20">
        <v>2038</v>
      </c>
      <c r="M20" s="615">
        <v>1</v>
      </c>
      <c r="N20" s="49">
        <v>0</v>
      </c>
      <c r="O20" s="49">
        <v>6.1111111111111107</v>
      </c>
    </row>
    <row r="21" spans="1:15" ht="16.2" thickBot="1">
      <c r="A21" s="11" t="s">
        <v>315</v>
      </c>
      <c r="B21" s="333">
        <f>B19-B17</f>
        <v>0.30000000000000004</v>
      </c>
      <c r="C21" s="13" t="s">
        <v>277</v>
      </c>
      <c r="F21">
        <v>2039</v>
      </c>
      <c r="G21" s="616">
        <v>0.71467648343859824</v>
      </c>
      <c r="H21" s="49">
        <v>175.73011308073939</v>
      </c>
      <c r="I21" s="49">
        <v>54.507401228720774</v>
      </c>
      <c r="L21">
        <v>2039</v>
      </c>
      <c r="M21" s="615">
        <v>1</v>
      </c>
      <c r="N21" s="49">
        <v>0</v>
      </c>
      <c r="O21" s="49">
        <v>6.1111111111111107</v>
      </c>
    </row>
    <row r="22" spans="1:15" ht="16.2" thickBot="1">
      <c r="A22" s="23" t="s">
        <v>458</v>
      </c>
      <c r="B22" s="567">
        <f>end_use!R12</f>
        <v>9.9982690579847357E-3</v>
      </c>
      <c r="C22" s="25" t="s">
        <v>277</v>
      </c>
      <c r="F22">
        <v>2040</v>
      </c>
      <c r="G22" s="616">
        <v>0.71333584427048236</v>
      </c>
      <c r="H22" s="49">
        <v>173.33756454810353</v>
      </c>
      <c r="I22" s="49">
        <v>54.048941201268057</v>
      </c>
      <c r="L22">
        <v>2040</v>
      </c>
      <c r="M22" s="615">
        <v>1</v>
      </c>
      <c r="N22" s="49">
        <v>0</v>
      </c>
      <c r="O22" s="49">
        <v>6.1111111111111107</v>
      </c>
    </row>
    <row r="23" spans="1:15" ht="16.2" thickBot="1">
      <c r="A23" s="23" t="s">
        <v>650</v>
      </c>
      <c r="B23" s="824">
        <f>'Scenario B'!C4</f>
        <v>0.47537660933352399</v>
      </c>
      <c r="C23" s="25"/>
      <c r="F23">
        <v>2041</v>
      </c>
      <c r="G23" s="616">
        <v>0.7131589794413562</v>
      </c>
      <c r="H23" s="49">
        <v>173.06660579697117</v>
      </c>
      <c r="I23" s="49">
        <v>54.000795594676433</v>
      </c>
      <c r="L23">
        <v>2041</v>
      </c>
      <c r="M23" s="615">
        <v>1</v>
      </c>
      <c r="N23" s="49">
        <v>0</v>
      </c>
      <c r="O23" s="49">
        <v>6.1111111111111107</v>
      </c>
    </row>
    <row r="24" spans="1:15">
      <c r="F24">
        <v>2042</v>
      </c>
      <c r="G24" s="616">
        <v>0.71259709245302549</v>
      </c>
      <c r="H24" s="49">
        <v>172.28138997530061</v>
      </c>
      <c r="I24" s="49">
        <v>53.868932404570721</v>
      </c>
      <c r="L24">
        <v>2042</v>
      </c>
      <c r="M24" s="615">
        <v>1</v>
      </c>
      <c r="N24" s="49">
        <v>0</v>
      </c>
      <c r="O24" s="49">
        <v>6.1111111111111107</v>
      </c>
    </row>
    <row r="25" spans="1:15">
      <c r="F25">
        <v>2043</v>
      </c>
      <c r="G25" s="616">
        <v>0.71379628265685691</v>
      </c>
      <c r="H25" s="49">
        <v>171.26337271459067</v>
      </c>
      <c r="I25" s="49">
        <v>53.378302309654217</v>
      </c>
      <c r="L25">
        <v>2043</v>
      </c>
      <c r="M25" s="615">
        <v>1</v>
      </c>
      <c r="N25" s="49">
        <v>0</v>
      </c>
      <c r="O25" s="49">
        <v>6.1111111111111107</v>
      </c>
    </row>
    <row r="26" spans="1:15">
      <c r="F26">
        <v>2044</v>
      </c>
      <c r="G26" s="616">
        <v>0.71827118557896696</v>
      </c>
      <c r="H26" s="49">
        <v>169.39672537176421</v>
      </c>
      <c r="I26" s="49">
        <v>52.113373628775022</v>
      </c>
      <c r="L26">
        <v>2044</v>
      </c>
      <c r="M26" s="615">
        <v>1</v>
      </c>
      <c r="N26" s="49">
        <v>0</v>
      </c>
      <c r="O26" s="49">
        <v>6.1111111111111107</v>
      </c>
    </row>
    <row r="27" spans="1:15">
      <c r="F27">
        <v>2045</v>
      </c>
      <c r="G27" s="616">
        <v>0.7207543878806637</v>
      </c>
      <c r="H27" s="49">
        <v>167.66982625100567</v>
      </c>
      <c r="I27" s="49">
        <v>51.225673413564444</v>
      </c>
      <c r="L27">
        <v>2045</v>
      </c>
      <c r="M27" s="615">
        <v>1</v>
      </c>
      <c r="N27" s="49">
        <v>0</v>
      </c>
      <c r="O27" s="49">
        <v>6.1111111111111107</v>
      </c>
    </row>
    <row r="28" spans="1:15">
      <c r="F28">
        <v>2046</v>
      </c>
      <c r="G28" s="616">
        <v>0.72544391319357404</v>
      </c>
      <c r="H28" s="49">
        <v>166.33094307835205</v>
      </c>
      <c r="I28" s="49">
        <v>50.100441204819873</v>
      </c>
      <c r="L28">
        <v>2046</v>
      </c>
      <c r="M28" s="615">
        <v>1</v>
      </c>
      <c r="N28" s="49">
        <v>0</v>
      </c>
      <c r="O28" s="49">
        <v>6.1111111111111107</v>
      </c>
    </row>
    <row r="29" spans="1:15">
      <c r="F29">
        <v>2047</v>
      </c>
      <c r="G29" s="616">
        <v>0.72823588928033611</v>
      </c>
      <c r="H29" s="49">
        <v>165.44370331738935</v>
      </c>
      <c r="I29" s="49">
        <v>49.41199134070915</v>
      </c>
      <c r="L29">
        <v>2047</v>
      </c>
      <c r="M29" s="615">
        <v>1</v>
      </c>
      <c r="N29" s="49">
        <v>0</v>
      </c>
      <c r="O29" s="49">
        <v>6.1111111111111107</v>
      </c>
    </row>
    <row r="30" spans="1:15">
      <c r="F30">
        <v>2048</v>
      </c>
      <c r="G30" s="616">
        <v>0.73033955610233936</v>
      </c>
      <c r="H30" s="49">
        <v>163.38081278650407</v>
      </c>
      <c r="I30" s="49">
        <v>48.520528676550256</v>
      </c>
      <c r="L30">
        <v>2048</v>
      </c>
      <c r="M30" s="615">
        <v>1</v>
      </c>
      <c r="N30" s="49">
        <v>0</v>
      </c>
      <c r="O30" s="49">
        <v>6.1111111111111107</v>
      </c>
    </row>
    <row r="31" spans="1:15">
      <c r="F31">
        <v>2049</v>
      </c>
      <c r="G31" s="616">
        <v>0.73208556970501415</v>
      </c>
      <c r="H31" s="49">
        <v>162.99579544613169</v>
      </c>
      <c r="I31" s="49">
        <v>48.142781936736839</v>
      </c>
      <c r="L31">
        <v>2049</v>
      </c>
      <c r="M31" s="615">
        <v>1</v>
      </c>
      <c r="N31" s="49">
        <v>0</v>
      </c>
      <c r="O31" s="49">
        <v>6.1111111111111107</v>
      </c>
    </row>
    <row r="32" spans="1:15">
      <c r="F32">
        <v>2050</v>
      </c>
      <c r="G32" s="616">
        <v>0.73417095560732692</v>
      </c>
      <c r="H32" s="49">
        <v>160.96685074418957</v>
      </c>
      <c r="I32" s="49">
        <v>47.276264396492934</v>
      </c>
      <c r="L32">
        <v>2050</v>
      </c>
      <c r="M32" s="615">
        <v>1</v>
      </c>
      <c r="N32" s="49">
        <v>0</v>
      </c>
      <c r="O32" s="49">
        <v>6.1111111111111107</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BB949-6302-8147-B1DB-4F96B852BECF}">
  <dimension ref="A1:BB61"/>
  <sheetViews>
    <sheetView topLeftCell="A12" zoomScaleNormal="100" workbookViewId="0">
      <pane xSplit="1" topLeftCell="L1" activePane="topRight" state="frozen"/>
      <selection pane="topRight" activeCell="I26" sqref="I26"/>
    </sheetView>
  </sheetViews>
  <sheetFormatPr defaultColWidth="11" defaultRowHeight="15.6"/>
  <cols>
    <col min="24" max="27" width="11.19921875" bestFit="1" customWidth="1"/>
    <col min="28" max="28" width="11.69921875" bestFit="1" customWidth="1"/>
  </cols>
  <sheetData>
    <row r="1" spans="1:54" ht="16.2" thickBot="1">
      <c r="A1" s="171" t="s">
        <v>23</v>
      </c>
      <c r="B1" s="23" t="s">
        <v>0</v>
      </c>
      <c r="C1" s="24" t="s">
        <v>1</v>
      </c>
      <c r="D1" s="24" t="s">
        <v>2</v>
      </c>
      <c r="E1" s="24" t="s">
        <v>3</v>
      </c>
      <c r="F1" s="24" t="s">
        <v>4</v>
      </c>
      <c r="G1" s="24" t="s">
        <v>5</v>
      </c>
      <c r="H1" s="24" t="s">
        <v>6</v>
      </c>
      <c r="I1" s="24" t="s">
        <v>7</v>
      </c>
      <c r="J1" s="24" t="s">
        <v>8</v>
      </c>
      <c r="K1" s="24" t="s">
        <v>9</v>
      </c>
      <c r="L1" s="24" t="s">
        <v>78</v>
      </c>
      <c r="M1" s="24" t="s">
        <v>10</v>
      </c>
      <c r="N1" s="24" t="s">
        <v>11</v>
      </c>
      <c r="O1" s="24" t="s">
        <v>12</v>
      </c>
      <c r="P1" s="24" t="s">
        <v>13</v>
      </c>
      <c r="Q1" s="24" t="s">
        <v>14</v>
      </c>
      <c r="R1" s="24" t="s">
        <v>15</v>
      </c>
      <c r="S1" s="24" t="s">
        <v>16</v>
      </c>
      <c r="T1" s="24" t="s">
        <v>17</v>
      </c>
      <c r="U1" s="24" t="s">
        <v>18</v>
      </c>
      <c r="V1" s="24" t="s">
        <v>19</v>
      </c>
      <c r="W1" s="25" t="s">
        <v>20</v>
      </c>
      <c r="X1" s="23" t="s">
        <v>21</v>
      </c>
      <c r="Y1" s="24" t="s">
        <v>75</v>
      </c>
      <c r="Z1" s="24" t="s">
        <v>89</v>
      </c>
      <c r="AA1" s="24" t="s">
        <v>50</v>
      </c>
      <c r="AB1" s="25" t="s">
        <v>26</v>
      </c>
      <c r="AG1" t="s">
        <v>0</v>
      </c>
      <c r="AH1" t="s">
        <v>1</v>
      </c>
      <c r="AI1" t="s">
        <v>2</v>
      </c>
      <c r="AJ1" t="s">
        <v>3</v>
      </c>
      <c r="AK1" t="s">
        <v>4</v>
      </c>
      <c r="AL1" t="s">
        <v>5</v>
      </c>
      <c r="AM1" t="s">
        <v>6</v>
      </c>
      <c r="AN1" t="s">
        <v>7</v>
      </c>
      <c r="AO1" t="s">
        <v>8</v>
      </c>
      <c r="AP1" t="s">
        <v>9</v>
      </c>
      <c r="AQ1" t="s">
        <v>78</v>
      </c>
      <c r="AR1" t="s">
        <v>10</v>
      </c>
      <c r="AS1" t="s">
        <v>11</v>
      </c>
      <c r="AT1" t="s">
        <v>12</v>
      </c>
      <c r="AU1" t="s">
        <v>13</v>
      </c>
      <c r="AV1" t="s">
        <v>14</v>
      </c>
      <c r="AW1" t="s">
        <v>15</v>
      </c>
      <c r="AX1" t="s">
        <v>16</v>
      </c>
      <c r="AY1" t="s">
        <v>17</v>
      </c>
      <c r="AZ1" t="s">
        <v>18</v>
      </c>
      <c r="BA1" t="s">
        <v>19</v>
      </c>
      <c r="BB1" t="s">
        <v>20</v>
      </c>
    </row>
    <row r="2" spans="1:54">
      <c r="A2" s="1" t="s">
        <v>0</v>
      </c>
      <c r="B2" s="132">
        <f>IF(Raw!B$25&gt;0,Raw!B2/Raw!B$25,0)</f>
        <v>0</v>
      </c>
      <c r="C2" s="36">
        <f>IF(Raw!C$25&gt;0,Raw!C2/Raw!C$25,0)</f>
        <v>0</v>
      </c>
      <c r="D2" s="133">
        <f>IF(Raw!D$25&gt;0,Raw!D2/Raw!D$25,0)</f>
        <v>0.37600004131868592</v>
      </c>
      <c r="E2" s="36">
        <f>IF(Raw!E$25&gt;0,Raw!E2/Raw!E$25,0)</f>
        <v>0</v>
      </c>
      <c r="F2" s="36">
        <f>IF(Raw!F$25&gt;0,Raw!F2/Raw!F$25,0)</f>
        <v>0</v>
      </c>
      <c r="G2" s="36">
        <f>IF(Raw!G$25&gt;0,Raw!G2/Raw!G$25,0)</f>
        <v>0</v>
      </c>
      <c r="H2" s="36">
        <f>IF(Raw!H$25&gt;0,Raw!H2/Raw!H$25,0)</f>
        <v>0</v>
      </c>
      <c r="I2" s="36">
        <f>IF(Raw!I$25&gt;0,Raw!I2/Raw!I$25,0)</f>
        <v>0</v>
      </c>
      <c r="J2" s="36">
        <f>IF(Raw!J$25&gt;0,Raw!J2/Raw!J$25,0)</f>
        <v>0</v>
      </c>
      <c r="K2" s="36">
        <f>IF(Raw!K$25&gt;0,Raw!K2/Raw!K$25,0)</f>
        <v>0</v>
      </c>
      <c r="L2" s="36">
        <f>IF(Raw!L$25&gt;0,Raw!L2/Raw!L$25,0)</f>
        <v>0</v>
      </c>
      <c r="M2" s="36">
        <f>IF(Raw!M$25&gt;0,Raw!M2/Raw!M$25,0)</f>
        <v>0</v>
      </c>
      <c r="N2" s="36">
        <f>IF(Raw!N$25&gt;0,Raw!N2/Raw!N$25,0)</f>
        <v>0</v>
      </c>
      <c r="O2" s="36">
        <f>IF(Raw!O$25&gt;0,Raw!O2/Raw!O$25,0)</f>
        <v>0</v>
      </c>
      <c r="P2" s="36">
        <f>IF(Raw!P$25&gt;0,Raw!P2/Raw!P$25,0)</f>
        <v>0</v>
      </c>
      <c r="Q2" s="36">
        <f>IF(Raw!Q$25&gt;0,Raw!Q2/Raw!Q$25,0)</f>
        <v>0</v>
      </c>
      <c r="R2" s="36">
        <f>IF(Raw!R$25&gt;0,Raw!R2/Raw!R$25,0)</f>
        <v>0</v>
      </c>
      <c r="S2" s="36">
        <f>IF(Raw!S$25&gt;0,Raw!S2/Raw!S$25,0)</f>
        <v>0</v>
      </c>
      <c r="T2" s="36">
        <f>IF(Raw!T$25&gt;0,Raw!T2/Raw!T$25,0)</f>
        <v>0</v>
      </c>
      <c r="U2" s="36">
        <f>IF(Raw!U$25&gt;0,Raw!U2/Raw!U$25,0)</f>
        <v>0</v>
      </c>
      <c r="V2" s="36">
        <f>IF(Raw!V$25&gt;0,Raw!V2/Raw!V$25,0)</f>
        <v>0</v>
      </c>
      <c r="W2" s="133">
        <f>IF(Raw!W$25&gt;0,Raw!W2/Raw!W$25,0)</f>
        <v>0</v>
      </c>
      <c r="X2" s="36">
        <f>Raw!X2</f>
        <v>0</v>
      </c>
      <c r="Y2" s="36">
        <f>Raw!Y2</f>
        <v>0</v>
      </c>
      <c r="Z2" s="36">
        <f>Raw!Z2</f>
        <v>302.8235294117647</v>
      </c>
      <c r="AA2" s="36">
        <f>Raw!AA2</f>
        <v>37.814705882353017</v>
      </c>
      <c r="AB2" s="81">
        <f>SUM(X2:AA2)</f>
        <v>340.63823529411769</v>
      </c>
      <c r="AF2" t="s">
        <v>0</v>
      </c>
      <c r="AG2" s="6" cm="1">
        <f t="array" ref="AG2:BB23">_xlfn.MUNIT(22)</f>
        <v>1</v>
      </c>
      <c r="AH2" s="7">
        <v>0</v>
      </c>
      <c r="AI2" s="7">
        <v>0</v>
      </c>
      <c r="AJ2" s="7">
        <v>0</v>
      </c>
      <c r="AK2" s="7">
        <v>0</v>
      </c>
      <c r="AL2" s="7">
        <v>0</v>
      </c>
      <c r="AM2" s="7">
        <v>0</v>
      </c>
      <c r="AN2" s="7">
        <v>0</v>
      </c>
      <c r="AO2" s="7">
        <v>0</v>
      </c>
      <c r="AP2" s="7">
        <v>0</v>
      </c>
      <c r="AQ2" s="7">
        <v>0</v>
      </c>
      <c r="AR2" s="7">
        <v>0</v>
      </c>
      <c r="AS2" s="7">
        <v>0</v>
      </c>
      <c r="AT2" s="7">
        <v>0</v>
      </c>
      <c r="AU2" s="7">
        <v>0</v>
      </c>
      <c r="AV2" s="7">
        <v>0</v>
      </c>
      <c r="AW2" s="7">
        <v>0</v>
      </c>
      <c r="AX2" s="7">
        <v>0</v>
      </c>
      <c r="AY2" s="7">
        <v>0</v>
      </c>
      <c r="AZ2" s="7">
        <v>0</v>
      </c>
      <c r="BA2" s="7">
        <v>0</v>
      </c>
      <c r="BB2" s="8">
        <v>0</v>
      </c>
    </row>
    <row r="3" spans="1:54">
      <c r="A3" s="1" t="s">
        <v>1</v>
      </c>
      <c r="B3" s="132">
        <f>IF(Raw!B$25&gt;0,Raw!B3/Raw!B$25,0)</f>
        <v>0</v>
      </c>
      <c r="C3" s="36">
        <f>IF(Raw!C$25&gt;0,Raw!C3/Raw!C$25,0)</f>
        <v>0</v>
      </c>
      <c r="D3" s="133">
        <f>IF(Raw!D$25&gt;0,Raw!D3/Raw!D$25,0)</f>
        <v>0</v>
      </c>
      <c r="E3" s="36">
        <f>IF(Raw!E$25&gt;0,Raw!E3/Raw!E$25,0)</f>
        <v>0.32599663464198481</v>
      </c>
      <c r="F3" s="36">
        <f>IF(Raw!F$25&gt;0,Raw!F3/Raw!F$25,0)</f>
        <v>0.7798127464228003</v>
      </c>
      <c r="G3" s="36">
        <f>IF(Raw!G$25&gt;0,Raw!G3/Raw!G$25,0)</f>
        <v>0</v>
      </c>
      <c r="H3" s="36">
        <f>IF(Raw!H$25&gt;0,Raw!H3/Raw!H$25,0)</f>
        <v>0</v>
      </c>
      <c r="I3" s="36">
        <f>IF(Raw!I$25&gt;0,Raw!I3/Raw!I$25,0)</f>
        <v>0</v>
      </c>
      <c r="J3" s="36">
        <f>IF(Raw!J$25&gt;0,Raw!J3/Raw!J$25,0)</f>
        <v>0</v>
      </c>
      <c r="K3" s="36">
        <f>IF(Raw!K$25&gt;0,Raw!K3/Raw!K$25,0)</f>
        <v>0</v>
      </c>
      <c r="L3" s="36">
        <f>IF(Raw!L$25&gt;0,Raw!L3/Raw!L$25,0)</f>
        <v>0</v>
      </c>
      <c r="M3" s="36">
        <f>IF(Raw!M$25&gt;0,Raw!M3/Raw!M$25,0)</f>
        <v>0</v>
      </c>
      <c r="N3" s="36">
        <f>IF(Raw!N$25&gt;0,Raw!N3/Raw!N$25,0)</f>
        <v>0</v>
      </c>
      <c r="O3" s="36">
        <f>IF(Raw!O$25&gt;0,Raw!O3/Raw!O$25,0)</f>
        <v>0</v>
      </c>
      <c r="P3" s="36">
        <f>IF(Raw!P$25&gt;0,Raw!P3/Raw!P$25,0)</f>
        <v>0</v>
      </c>
      <c r="Q3" s="36">
        <f>IF(Raw!Q$25&gt;0,Raw!Q3/Raw!Q$25,0)</f>
        <v>0</v>
      </c>
      <c r="R3" s="36">
        <f>IF(Raw!R$25&gt;0,Raw!R3/Raw!R$25,0)</f>
        <v>0</v>
      </c>
      <c r="S3" s="36">
        <f>IF(Raw!S$25&gt;0,Raw!S3/Raw!S$25,0)</f>
        <v>0</v>
      </c>
      <c r="T3" s="36">
        <f>IF(Raw!T$25&gt;0,Raw!T3/Raw!T$25,0)</f>
        <v>0</v>
      </c>
      <c r="U3" s="36">
        <f>IF(Raw!U$25&gt;0,Raw!U3/Raw!U$25,0)</f>
        <v>0</v>
      </c>
      <c r="V3" s="36">
        <f>IF(Raw!V$25&gt;0,Raw!V3/Raw!V$25,0)</f>
        <v>0</v>
      </c>
      <c r="W3" s="133">
        <f>IF(Raw!W$25&gt;0,Raw!W3/Raw!W$25,0)</f>
        <v>0</v>
      </c>
      <c r="X3" s="36">
        <f>Raw!X3</f>
        <v>0</v>
      </c>
      <c r="Y3" s="36">
        <f>Raw!Y3</f>
        <v>0</v>
      </c>
      <c r="Z3" s="36">
        <f>Raw!Z3</f>
        <v>1894.6815776343117</v>
      </c>
      <c r="AA3" s="36">
        <f>Raw!AA3</f>
        <v>0</v>
      </c>
      <c r="AB3" s="81">
        <f t="shared" ref="AB3:AB23" si="0">SUM(X3:AA3)</f>
        <v>1894.6815776343117</v>
      </c>
      <c r="AF3" t="s">
        <v>1</v>
      </c>
      <c r="AG3" s="9">
        <v>0</v>
      </c>
      <c r="AH3">
        <v>1</v>
      </c>
      <c r="AI3">
        <v>0</v>
      </c>
      <c r="AJ3">
        <v>0</v>
      </c>
      <c r="AK3">
        <v>0</v>
      </c>
      <c r="AL3">
        <v>0</v>
      </c>
      <c r="AM3">
        <v>0</v>
      </c>
      <c r="AN3">
        <v>0</v>
      </c>
      <c r="AO3">
        <v>0</v>
      </c>
      <c r="AP3">
        <v>0</v>
      </c>
      <c r="AQ3">
        <v>0</v>
      </c>
      <c r="AR3">
        <v>0</v>
      </c>
      <c r="AS3">
        <v>0</v>
      </c>
      <c r="AT3">
        <v>0</v>
      </c>
      <c r="AU3">
        <v>0</v>
      </c>
      <c r="AV3">
        <v>0</v>
      </c>
      <c r="AW3">
        <v>0</v>
      </c>
      <c r="AX3">
        <v>0</v>
      </c>
      <c r="AY3">
        <v>0</v>
      </c>
      <c r="AZ3">
        <v>0</v>
      </c>
      <c r="BA3">
        <v>0</v>
      </c>
      <c r="BB3" s="10">
        <v>0</v>
      </c>
    </row>
    <row r="4" spans="1:54">
      <c r="A4" s="1" t="s">
        <v>2</v>
      </c>
      <c r="B4" s="132">
        <f>IF(Raw!B$25&gt;0,Raw!B4/Raw!B$25,0)</f>
        <v>0</v>
      </c>
      <c r="C4" s="36">
        <f>IF(Raw!C$25&gt;0,Raw!C4/Raw!C$25,0)</f>
        <v>0</v>
      </c>
      <c r="D4" s="133">
        <f>IF(Raw!D$25&gt;0,Raw!D4/Raw!D$25,0)</f>
        <v>0</v>
      </c>
      <c r="E4" s="36">
        <f>IF(Raw!E$25&gt;0,Raw!E4/Raw!E$25,0)</f>
        <v>4.6021123346870509E-3</v>
      </c>
      <c r="F4" s="36">
        <f>IF(Raw!F$25&gt;0,Raw!F4/Raw!F$25,0)</f>
        <v>1.4926395558394598E-2</v>
      </c>
      <c r="G4" s="36">
        <f>IF(Raw!G$25&gt;0,Raw!G4/Raw!G$25,0)</f>
        <v>9.7340438711048832E-2</v>
      </c>
      <c r="H4" s="36">
        <f>IF(Raw!H$25&gt;0,Raw!H4/Raw!H$25,0)</f>
        <v>0.10150442419816888</v>
      </c>
      <c r="I4" s="36">
        <f>IF(Raw!I$25&gt;0,Raw!I4/Raw!I$25,0)</f>
        <v>0</v>
      </c>
      <c r="J4" s="36">
        <f>IF(Raw!J$25&gt;0,Raw!J4/Raw!J$25,0)</f>
        <v>0</v>
      </c>
      <c r="K4" s="36">
        <f>IF(Raw!K$25&gt;0,Raw!K4/Raw!K$25,0)</f>
        <v>0</v>
      </c>
      <c r="L4" s="36">
        <f>IF(Raw!L$25&gt;0,Raw!L4/Raw!L$25,0)</f>
        <v>0</v>
      </c>
      <c r="M4" s="36">
        <f>IF(Raw!M$25&gt;0,Raw!M4/Raw!M$25,0)</f>
        <v>0</v>
      </c>
      <c r="N4" s="36">
        <f>IF(Raw!N$25&gt;0,Raw!N4/Raw!N$25,0)</f>
        <v>0</v>
      </c>
      <c r="O4" s="36">
        <f>IF(Raw!O$25&gt;0,Raw!O4/Raw!O$25,0)</f>
        <v>0</v>
      </c>
      <c r="P4" s="36">
        <f>IF(Raw!P$25&gt;0,Raw!P4/Raw!P$25,0)</f>
        <v>0</v>
      </c>
      <c r="Q4" s="36">
        <f>IF(Raw!Q$25&gt;0,Raw!Q4/Raw!Q$25,0)</f>
        <v>0</v>
      </c>
      <c r="R4" s="36">
        <f>IF(Raw!R$25&gt;0,Raw!R4/Raw!R$25,0)</f>
        <v>0</v>
      </c>
      <c r="S4" s="36">
        <f>IF(Raw!S$25&gt;0,Raw!S4/Raw!S$25,0)</f>
        <v>0</v>
      </c>
      <c r="T4" s="36">
        <f>IF(Raw!T$25&gt;0,Raw!T4/Raw!T$25,0)</f>
        <v>0</v>
      </c>
      <c r="U4" s="36">
        <f>IF(Raw!U$25&gt;0,Raw!U4/Raw!U$25,0)</f>
        <v>0</v>
      </c>
      <c r="V4" s="36">
        <f>IF(Raw!V$25&gt;0,Raw!V4/Raw!V$25,0)</f>
        <v>0</v>
      </c>
      <c r="W4" s="133">
        <f>IF(Raw!W$25&gt;0,Raw!W4/Raw!W$25,0)</f>
        <v>0</v>
      </c>
      <c r="X4" s="36">
        <f>Raw!X4</f>
        <v>0</v>
      </c>
      <c r="Y4" s="36">
        <f>Raw!Y4</f>
        <v>0</v>
      </c>
      <c r="Z4" s="36">
        <f>Raw!Z4</f>
        <v>0</v>
      </c>
      <c r="AA4" s="36">
        <f>Raw!AA4</f>
        <v>15.031176470588207</v>
      </c>
      <c r="AB4" s="81">
        <f t="shared" si="0"/>
        <v>15.031176470588207</v>
      </c>
      <c r="AF4" t="s">
        <v>2</v>
      </c>
      <c r="AG4" s="9">
        <v>0</v>
      </c>
      <c r="AH4">
        <v>0</v>
      </c>
      <c r="AI4">
        <v>1</v>
      </c>
      <c r="AJ4">
        <v>0</v>
      </c>
      <c r="AK4">
        <v>0</v>
      </c>
      <c r="AL4">
        <v>0</v>
      </c>
      <c r="AM4">
        <v>0</v>
      </c>
      <c r="AN4">
        <v>0</v>
      </c>
      <c r="AO4">
        <v>0</v>
      </c>
      <c r="AP4">
        <v>0</v>
      </c>
      <c r="AQ4">
        <v>0</v>
      </c>
      <c r="AR4">
        <v>0</v>
      </c>
      <c r="AS4">
        <v>0</v>
      </c>
      <c r="AT4">
        <v>0</v>
      </c>
      <c r="AU4">
        <v>0</v>
      </c>
      <c r="AV4">
        <v>0</v>
      </c>
      <c r="AW4">
        <v>0</v>
      </c>
      <c r="AX4">
        <v>0</v>
      </c>
      <c r="AY4">
        <v>0</v>
      </c>
      <c r="AZ4">
        <v>0</v>
      </c>
      <c r="BA4">
        <v>0</v>
      </c>
      <c r="BB4" s="10">
        <v>0</v>
      </c>
    </row>
    <row r="5" spans="1:54">
      <c r="A5" s="1" t="s">
        <v>3</v>
      </c>
      <c r="B5" s="132">
        <f>IF(Raw!B$25&gt;0,Raw!B5/Raw!B$25,0)</f>
        <v>0</v>
      </c>
      <c r="C5" s="36">
        <f>IF(Raw!C$25&gt;0,Raw!C5/Raw!C$25,0)</f>
        <v>0</v>
      </c>
      <c r="D5" s="133">
        <f>IF(Raw!D$25&gt;0,Raw!D5/Raw!D$25,0)</f>
        <v>0</v>
      </c>
      <c r="E5" s="36">
        <f>IF(Raw!E$25&gt;0,Raw!E5/Raw!E$25,0)</f>
        <v>0</v>
      </c>
      <c r="F5" s="36">
        <f>IF(Raw!F$25&gt;0,Raw!F5/Raw!F$25,0)</f>
        <v>0</v>
      </c>
      <c r="G5" s="36">
        <f>IF(Raw!G$25&gt;0,Raw!G5/Raw!G$25,0)</f>
        <v>0.88012261242481693</v>
      </c>
      <c r="H5" s="36">
        <f>IF(Raw!H$25&gt;0,Raw!H5/Raw!H$25,0)</f>
        <v>0</v>
      </c>
      <c r="I5" s="36">
        <f>IF(Raw!I$25&gt;0,Raw!I5/Raw!I$25,0)</f>
        <v>0</v>
      </c>
      <c r="J5" s="36">
        <f>IF(Raw!J$25&gt;0,Raw!J5/Raw!J$25,0)</f>
        <v>0</v>
      </c>
      <c r="K5" s="36">
        <f>IF(Raw!K$25&gt;0,Raw!K5/Raw!K$25,0)</f>
        <v>0</v>
      </c>
      <c r="L5" s="36">
        <f>IF(Raw!L$25&gt;0,Raw!L5/Raw!L$25,0)</f>
        <v>0</v>
      </c>
      <c r="M5" s="36">
        <f>IF(Raw!M$25&gt;0,Raw!M5/Raw!M$25,0)</f>
        <v>0</v>
      </c>
      <c r="N5" s="36">
        <f>IF(Raw!N$25&gt;0,Raw!N5/Raw!N$25,0)</f>
        <v>0</v>
      </c>
      <c r="O5" s="36">
        <f>IF(Raw!O$25&gt;0,Raw!O5/Raw!O$25,0)</f>
        <v>0</v>
      </c>
      <c r="P5" s="36">
        <f>IF(Raw!P$25&gt;0,Raw!P5/Raw!P$25,0)</f>
        <v>0</v>
      </c>
      <c r="Q5" s="36">
        <f>IF(Raw!Q$25&gt;0,Raw!Q5/Raw!Q$25,0)</f>
        <v>0</v>
      </c>
      <c r="R5" s="36">
        <f>IF(Raw!R$25&gt;0,Raw!R5/Raw!R$25,0)</f>
        <v>0</v>
      </c>
      <c r="S5" s="36">
        <f>IF(Raw!S$25&gt;0,Raw!S5/Raw!S$25,0)</f>
        <v>0</v>
      </c>
      <c r="T5" s="36">
        <f>IF(Raw!T$25&gt;0,Raw!T5/Raw!T$25,0)</f>
        <v>0</v>
      </c>
      <c r="U5" s="36">
        <f>IF(Raw!U$25&gt;0,Raw!U5/Raw!U$25,0)</f>
        <v>0</v>
      </c>
      <c r="V5" s="36">
        <f>IF(Raw!V$25&gt;0,Raw!V5/Raw!V$25,0)</f>
        <v>0</v>
      </c>
      <c r="W5" s="133">
        <f>IF(Raw!W$25&gt;0,Raw!W5/Raw!W$25,0)</f>
        <v>0</v>
      </c>
      <c r="X5" s="36">
        <f>Raw!X5</f>
        <v>0</v>
      </c>
      <c r="Y5" s="36">
        <f>Raw!Y5</f>
        <v>0</v>
      </c>
      <c r="Z5" s="36">
        <f>Raw!Z5</f>
        <v>0</v>
      </c>
      <c r="AA5" s="36">
        <f>Raw!AA5</f>
        <v>340.63709947338975</v>
      </c>
      <c r="AB5" s="81">
        <f t="shared" si="0"/>
        <v>340.63709947338975</v>
      </c>
      <c r="AF5" t="s">
        <v>3</v>
      </c>
      <c r="AG5" s="9">
        <v>0</v>
      </c>
      <c r="AH5">
        <v>0</v>
      </c>
      <c r="AI5">
        <v>0</v>
      </c>
      <c r="AJ5">
        <v>1</v>
      </c>
      <c r="AK5">
        <v>0</v>
      </c>
      <c r="AL5">
        <v>0</v>
      </c>
      <c r="AM5">
        <v>0</v>
      </c>
      <c r="AN5">
        <v>0</v>
      </c>
      <c r="AO5">
        <v>0</v>
      </c>
      <c r="AP5">
        <v>0</v>
      </c>
      <c r="AQ5">
        <v>0</v>
      </c>
      <c r="AR5">
        <v>0</v>
      </c>
      <c r="AS5">
        <v>0</v>
      </c>
      <c r="AT5">
        <v>0</v>
      </c>
      <c r="AU5">
        <v>0</v>
      </c>
      <c r="AV5">
        <v>0</v>
      </c>
      <c r="AW5">
        <v>0</v>
      </c>
      <c r="AX5">
        <v>0</v>
      </c>
      <c r="AY5">
        <v>0</v>
      </c>
      <c r="AZ5">
        <v>0</v>
      </c>
      <c r="BA5">
        <v>0</v>
      </c>
      <c r="BB5" s="10">
        <v>0</v>
      </c>
    </row>
    <row r="6" spans="1:54">
      <c r="A6" s="1" t="s">
        <v>4</v>
      </c>
      <c r="B6" s="132">
        <f>IF(Raw!B$25&gt;0,Raw!B6/Raw!B$25,0)</f>
        <v>0</v>
      </c>
      <c r="C6" s="36">
        <f>IF(Raw!C$25&gt;0,Raw!C6/Raw!C$25,0)</f>
        <v>0</v>
      </c>
      <c r="D6" s="133">
        <f>IF(Raw!D$25&gt;0,Raw!D6/Raw!D$25,0)</f>
        <v>0</v>
      </c>
      <c r="E6" s="36">
        <f>IF(Raw!E$25&gt;0,Raw!E6/Raw!E$25,0)</f>
        <v>0</v>
      </c>
      <c r="F6" s="36">
        <f>IF(Raw!F$25&gt;0,Raw!F6/Raw!F$25,0)</f>
        <v>0</v>
      </c>
      <c r="G6" s="36">
        <f>IF(Raw!G$25&gt;0,Raw!G6/Raw!G$25,0)</f>
        <v>0</v>
      </c>
      <c r="H6" s="36">
        <f>IF(Raw!H$25&gt;0,Raw!H6/Raw!H$25,0)</f>
        <v>0.87499455148008787</v>
      </c>
      <c r="I6" s="36">
        <f>IF(Raw!I$25&gt;0,Raw!I6/Raw!I$25,0)</f>
        <v>0</v>
      </c>
      <c r="J6" s="36">
        <f>IF(Raw!J$25&gt;0,Raw!J6/Raw!J$25,0)</f>
        <v>0</v>
      </c>
      <c r="K6" s="36">
        <f>IF(Raw!K$25&gt;0,Raw!K6/Raw!K$25,0)</f>
        <v>0</v>
      </c>
      <c r="L6" s="36">
        <f>IF(Raw!L$25&gt;0,Raw!L6/Raw!L$25,0)</f>
        <v>0</v>
      </c>
      <c r="M6" s="36">
        <f>IF(Raw!M$25&gt;0,Raw!M6/Raw!M$25,0)</f>
        <v>0</v>
      </c>
      <c r="N6" s="36">
        <f>IF(Raw!N$25&gt;0,Raw!N6/Raw!N$25,0)</f>
        <v>0</v>
      </c>
      <c r="O6" s="36">
        <f>IF(Raw!O$25&gt;0,Raw!O6/Raw!O$25,0)</f>
        <v>0</v>
      </c>
      <c r="P6" s="36">
        <f>IF(Raw!P$25&gt;0,Raw!P6/Raw!P$25,0)</f>
        <v>0</v>
      </c>
      <c r="Q6" s="36">
        <f>IF(Raw!Q$25&gt;0,Raw!Q6/Raw!Q$25,0)</f>
        <v>0</v>
      </c>
      <c r="R6" s="36">
        <f>IF(Raw!R$25&gt;0,Raw!R6/Raw!R$25,0)</f>
        <v>0</v>
      </c>
      <c r="S6" s="36">
        <f>IF(Raw!S$25&gt;0,Raw!S6/Raw!S$25,0)</f>
        <v>0</v>
      </c>
      <c r="T6" s="36">
        <f>IF(Raw!T$25&gt;0,Raw!T6/Raw!T$25,0)</f>
        <v>0</v>
      </c>
      <c r="U6" s="36">
        <f>IF(Raw!U$25&gt;0,Raw!U6/Raw!U$25,0)</f>
        <v>0</v>
      </c>
      <c r="V6" s="36">
        <f>IF(Raw!V$25&gt;0,Raw!V6/Raw!V$25,0)</f>
        <v>0</v>
      </c>
      <c r="W6" s="133">
        <f>IF(Raw!W$25&gt;0,Raw!W6/Raw!W$25,0)</f>
        <v>0</v>
      </c>
      <c r="X6" s="36">
        <f>Raw!X6</f>
        <v>0</v>
      </c>
      <c r="Y6" s="36">
        <f>Raw!Y6</f>
        <v>0</v>
      </c>
      <c r="Z6" s="36">
        <f>Raw!Z6</f>
        <v>0</v>
      </c>
      <c r="AA6" s="36">
        <f>Raw!AA6</f>
        <v>105.02536871715529</v>
      </c>
      <c r="AB6" s="81">
        <f t="shared" si="0"/>
        <v>105.02536871715529</v>
      </c>
      <c r="AF6" t="s">
        <v>4</v>
      </c>
      <c r="AG6" s="9">
        <v>0</v>
      </c>
      <c r="AH6">
        <v>0</v>
      </c>
      <c r="AI6">
        <v>0</v>
      </c>
      <c r="AJ6">
        <v>0</v>
      </c>
      <c r="AK6">
        <v>1</v>
      </c>
      <c r="AL6">
        <v>0</v>
      </c>
      <c r="AM6">
        <v>0</v>
      </c>
      <c r="AN6">
        <v>0</v>
      </c>
      <c r="AO6">
        <v>0</v>
      </c>
      <c r="AP6">
        <v>0</v>
      </c>
      <c r="AQ6">
        <v>0</v>
      </c>
      <c r="AR6">
        <v>0</v>
      </c>
      <c r="AS6">
        <v>0</v>
      </c>
      <c r="AT6">
        <v>0</v>
      </c>
      <c r="AU6">
        <v>0</v>
      </c>
      <c r="AV6">
        <v>0</v>
      </c>
      <c r="AW6">
        <v>0</v>
      </c>
      <c r="AX6">
        <v>0</v>
      </c>
      <c r="AY6">
        <v>0</v>
      </c>
      <c r="AZ6">
        <v>0</v>
      </c>
      <c r="BA6">
        <v>0</v>
      </c>
      <c r="BB6" s="10">
        <v>0</v>
      </c>
    </row>
    <row r="7" spans="1:54">
      <c r="A7" s="1" t="s">
        <v>5</v>
      </c>
      <c r="B7" s="132">
        <f>IF(Raw!B$25&gt;0,Raw!B7/Raw!B$25,0)</f>
        <v>0</v>
      </c>
      <c r="C7" s="36">
        <f>IF(Raw!C$25&gt;0,Raw!C7/Raw!C$25,0)</f>
        <v>0</v>
      </c>
      <c r="D7" s="133">
        <f>IF(Raw!D$25&gt;0,Raw!D7/Raw!D$25,0)</f>
        <v>0</v>
      </c>
      <c r="E7" s="36">
        <f>IF(Raw!E$25&gt;0,Raw!E7/Raw!E$25,0)</f>
        <v>0</v>
      </c>
      <c r="F7" s="36">
        <f>IF(Raw!F$25&gt;0,Raw!F7/Raw!F$25,0)</f>
        <v>0</v>
      </c>
      <c r="G7" s="36">
        <f>IF(Raw!G$25&gt;0,Raw!G7/Raw!G$25,0)</f>
        <v>0</v>
      </c>
      <c r="H7" s="36">
        <f>IF(Raw!H$25&gt;0,Raw!H7/Raw!H$25,0)</f>
        <v>0</v>
      </c>
      <c r="I7" s="36">
        <f>IF(Raw!I$25&gt;0,Raw!I7/Raw!I$25,0)</f>
        <v>0.85</v>
      </c>
      <c r="J7" s="36">
        <f>IF(Raw!J$25&gt;0,Raw!J7/Raw!J$25,0)</f>
        <v>0.8</v>
      </c>
      <c r="K7" s="36">
        <f>IF(Raw!K$25&gt;0,Raw!K7/Raw!K$25,0)</f>
        <v>0.8</v>
      </c>
      <c r="L7" s="36">
        <f>IF(Raw!L$25&gt;0,Raw!L7/Raw!L$25,0)</f>
        <v>0.8</v>
      </c>
      <c r="M7" s="36">
        <f>IF(Raw!M$25&gt;0,Raw!M7/Raw!M$25,0)</f>
        <v>0</v>
      </c>
      <c r="N7" s="36">
        <f>IF(Raw!N$25&gt;0,Raw!N7/Raw!N$25,0)</f>
        <v>0</v>
      </c>
      <c r="O7" s="36">
        <f>IF(Raw!O$25&gt;0,Raw!O7/Raw!O$25,0)</f>
        <v>0</v>
      </c>
      <c r="P7" s="36">
        <f>IF(Raw!P$25&gt;0,Raw!P7/Raw!P$25,0)</f>
        <v>0</v>
      </c>
      <c r="Q7" s="36">
        <f>IF(Raw!Q$25&gt;0,Raw!Q7/Raw!Q$25,0)</f>
        <v>0</v>
      </c>
      <c r="R7" s="36">
        <f>IF(Raw!R$25&gt;0,Raw!R7/Raw!R$25,0)</f>
        <v>0</v>
      </c>
      <c r="S7" s="36">
        <f>IF(Raw!S$25&gt;0,Raw!S7/Raw!S$25,0)</f>
        <v>0</v>
      </c>
      <c r="T7" s="36">
        <f>IF(Raw!T$25&gt;0,Raw!T7/Raw!T$25,0)</f>
        <v>0</v>
      </c>
      <c r="U7" s="36">
        <f>IF(Raw!U$25&gt;0,Raw!U7/Raw!U$25,0)</f>
        <v>0</v>
      </c>
      <c r="V7" s="36">
        <f>IF(Raw!V$25&gt;0,Raw!V7/Raw!V$25,0)</f>
        <v>0</v>
      </c>
      <c r="W7" s="133">
        <f>IF(Raw!W$25&gt;0,Raw!W7/Raw!W$25,0)</f>
        <v>0</v>
      </c>
      <c r="X7" s="36">
        <f>Raw!X7</f>
        <v>0</v>
      </c>
      <c r="Y7" s="36">
        <f>Raw!Y7</f>
        <v>0</v>
      </c>
      <c r="Z7" s="36">
        <f>Raw!Z7</f>
        <v>91.691272420608399</v>
      </c>
      <c r="AA7" s="36">
        <f>Raw!AA7</f>
        <v>0</v>
      </c>
      <c r="AB7" s="81">
        <f t="shared" si="0"/>
        <v>91.691272420608399</v>
      </c>
      <c r="AF7" t="s">
        <v>5</v>
      </c>
      <c r="AG7" s="9">
        <v>0</v>
      </c>
      <c r="AH7">
        <v>0</v>
      </c>
      <c r="AI7">
        <v>0</v>
      </c>
      <c r="AJ7">
        <v>0</v>
      </c>
      <c r="AK7">
        <v>0</v>
      </c>
      <c r="AL7">
        <v>1</v>
      </c>
      <c r="AM7">
        <v>0</v>
      </c>
      <c r="AN7">
        <v>0</v>
      </c>
      <c r="AO7">
        <v>0</v>
      </c>
      <c r="AP7">
        <v>0</v>
      </c>
      <c r="AQ7">
        <v>0</v>
      </c>
      <c r="AR7">
        <v>0</v>
      </c>
      <c r="AS7">
        <v>0</v>
      </c>
      <c r="AT7">
        <v>0</v>
      </c>
      <c r="AU7">
        <v>0</v>
      </c>
      <c r="AV7">
        <v>0</v>
      </c>
      <c r="AW7">
        <v>0</v>
      </c>
      <c r="AX7">
        <v>0</v>
      </c>
      <c r="AY7">
        <v>0</v>
      </c>
      <c r="AZ7">
        <v>0</v>
      </c>
      <c r="BA7">
        <v>0</v>
      </c>
      <c r="BB7" s="10">
        <v>0</v>
      </c>
    </row>
    <row r="8" spans="1:54">
      <c r="A8" s="1" t="s">
        <v>6</v>
      </c>
      <c r="B8" s="132">
        <f>IF(Raw!B$25&gt;0,Raw!B8/Raw!B$25,0)</f>
        <v>0</v>
      </c>
      <c r="C8" s="36">
        <f>IF(Raw!C$25&gt;0,Raw!C8/Raw!C$25,0)</f>
        <v>0</v>
      </c>
      <c r="D8" s="133">
        <f>IF(Raw!D$25&gt;0,Raw!D8/Raw!D$25,0)</f>
        <v>0</v>
      </c>
      <c r="E8" s="36">
        <f>IF(Raw!E$25&gt;0,Raw!E8/Raw!E$25,0)</f>
        <v>0</v>
      </c>
      <c r="F8" s="36">
        <f>IF(Raw!F$25&gt;0,Raw!F8/Raw!F$25,0)</f>
        <v>0</v>
      </c>
      <c r="G8" s="36">
        <f>IF(Raw!G$25&gt;0,Raw!G8/Raw!G$25,0)</f>
        <v>0</v>
      </c>
      <c r="H8" s="36">
        <f>IF(Raw!H$25&gt;0,Raw!H8/Raw!H$25,0)</f>
        <v>0</v>
      </c>
      <c r="I8" s="36">
        <f>IF(Raw!I$25&gt;0,Raw!I8/Raw!I$25,0)</f>
        <v>0</v>
      </c>
      <c r="J8" s="36">
        <f>IF(Raw!J$25&gt;0,Raw!J8/Raw!J$25,0)</f>
        <v>0</v>
      </c>
      <c r="K8" s="36">
        <f>IF(Raw!K$25&gt;0,Raw!K8/Raw!K$25,0)</f>
        <v>0</v>
      </c>
      <c r="L8" s="36">
        <f>IF(Raw!L$25&gt;0,Raw!L8/Raw!L$25,0)</f>
        <v>0</v>
      </c>
      <c r="M8" s="36">
        <f>IF(Raw!M$25&gt;0,Raw!M8/Raw!M$25,0)</f>
        <v>0.94999999999999984</v>
      </c>
      <c r="N8" s="36">
        <f>IF(Raw!N$25&gt;0,Raw!N8/Raw!N$25,0)</f>
        <v>0.95</v>
      </c>
      <c r="O8" s="36">
        <f>IF(Raw!O$25&gt;0,Raw!O8/Raw!O$25,0)</f>
        <v>0.95000000000000007</v>
      </c>
      <c r="P8" s="36">
        <f>IF(Raw!P$25&gt;0,Raw!P8/Raw!P$25,0)</f>
        <v>0</v>
      </c>
      <c r="Q8" s="36">
        <f>IF(Raw!Q$25&gt;0,Raw!Q8/Raw!Q$25,0)</f>
        <v>0</v>
      </c>
      <c r="R8" s="36">
        <f>IF(Raw!R$25&gt;0,Raw!R8/Raw!R$25,0)</f>
        <v>0</v>
      </c>
      <c r="S8" s="36">
        <f>IF(Raw!S$25&gt;0,Raw!S8/Raw!S$25,0)</f>
        <v>0</v>
      </c>
      <c r="T8" s="36">
        <f>IF(Raw!T$25&gt;0,Raw!T8/Raw!T$25,0)</f>
        <v>0</v>
      </c>
      <c r="U8" s="36">
        <f>IF(Raw!U$25&gt;0,Raw!U8/Raw!U$25,0)</f>
        <v>0</v>
      </c>
      <c r="V8" s="36">
        <f>IF(Raw!V$25&gt;0,Raw!V8/Raw!V$25,0)</f>
        <v>0</v>
      </c>
      <c r="W8" s="133">
        <f>IF(Raw!W$25&gt;0,Raw!W8/Raw!W$25,0)</f>
        <v>0</v>
      </c>
      <c r="X8" s="36">
        <f>Raw!X8</f>
        <v>0</v>
      </c>
      <c r="Y8" s="36">
        <f>Raw!Y8</f>
        <v>0</v>
      </c>
      <c r="Z8" s="36">
        <f>Raw!Z8</f>
        <v>113.30872757939159</v>
      </c>
      <c r="AA8" s="36">
        <f>Raw!AA8</f>
        <v>0</v>
      </c>
      <c r="AB8" s="81">
        <f t="shared" si="0"/>
        <v>113.30872757939159</v>
      </c>
      <c r="AF8" t="s">
        <v>6</v>
      </c>
      <c r="AG8" s="9">
        <v>0</v>
      </c>
      <c r="AH8">
        <v>0</v>
      </c>
      <c r="AI8">
        <v>0</v>
      </c>
      <c r="AJ8">
        <v>0</v>
      </c>
      <c r="AK8">
        <v>0</v>
      </c>
      <c r="AL8">
        <v>0</v>
      </c>
      <c r="AM8">
        <v>1</v>
      </c>
      <c r="AN8">
        <v>0</v>
      </c>
      <c r="AO8">
        <v>0</v>
      </c>
      <c r="AP8">
        <v>0</v>
      </c>
      <c r="AQ8">
        <v>0</v>
      </c>
      <c r="AR8">
        <v>0</v>
      </c>
      <c r="AS8">
        <v>0</v>
      </c>
      <c r="AT8">
        <v>0</v>
      </c>
      <c r="AU8">
        <v>0</v>
      </c>
      <c r="AV8">
        <v>0</v>
      </c>
      <c r="AW8">
        <v>0</v>
      </c>
      <c r="AX8">
        <v>0</v>
      </c>
      <c r="AY8">
        <v>0</v>
      </c>
      <c r="AZ8">
        <v>0</v>
      </c>
      <c r="BA8">
        <v>0</v>
      </c>
      <c r="BB8" s="10">
        <v>0</v>
      </c>
    </row>
    <row r="9" spans="1:54">
      <c r="A9" s="1" t="s">
        <v>7</v>
      </c>
      <c r="B9" s="132">
        <f>IF(Raw!B$25&gt;0,Raw!B9/Raw!B$25,0)</f>
        <v>0</v>
      </c>
      <c r="C9" s="36">
        <f>IF(Raw!C$25&gt;0,Raw!C9/Raw!C$25,0)</f>
        <v>0</v>
      </c>
      <c r="D9" s="133">
        <f>IF(Raw!D$25&gt;0,Raw!D9/Raw!D$25,0)</f>
        <v>0</v>
      </c>
      <c r="E9" s="36">
        <f>IF(Raw!E$25&gt;0,Raw!E9/Raw!E$25,0)</f>
        <v>0.21965621724886936</v>
      </c>
      <c r="F9" s="36">
        <f>IF(Raw!F$25&gt;0,Raw!F9/Raw!F$25,0)</f>
        <v>7.9158712518578839E-2</v>
      </c>
      <c r="G9" s="36">
        <f>IF(Raw!G$25&gt;0,Raw!G9/Raw!G$25,0)</f>
        <v>0</v>
      </c>
      <c r="H9" s="36">
        <f>IF(Raw!H$25&gt;0,Raw!H9/Raw!H$25,0)</f>
        <v>0</v>
      </c>
      <c r="I9" s="36">
        <f>IF(Raw!I$25&gt;0,Raw!I9/Raw!I$25,0)</f>
        <v>0</v>
      </c>
      <c r="J9" s="36">
        <f>IF(Raw!J$25&gt;0,Raw!J9/Raw!J$25,0)</f>
        <v>0</v>
      </c>
      <c r="K9" s="36">
        <f>IF(Raw!K$25&gt;0,Raw!K9/Raw!K$25,0)</f>
        <v>0</v>
      </c>
      <c r="L9" s="36">
        <f>IF(Raw!L$25&gt;0,Raw!L9/Raw!L$25,0)</f>
        <v>0</v>
      </c>
      <c r="M9" s="36">
        <f>IF(Raw!M$25&gt;0,Raw!M9/Raw!M$25,0)</f>
        <v>0</v>
      </c>
      <c r="N9" s="36">
        <f>IF(Raw!N$25&gt;0,Raw!N9/Raw!N$25,0)</f>
        <v>0</v>
      </c>
      <c r="O9" s="36">
        <f>IF(Raw!O$25&gt;0,Raw!O9/Raw!O$25,0)</f>
        <v>0</v>
      </c>
      <c r="P9" s="36">
        <f>IF(Raw!P$25&gt;0,Raw!P9/Raw!P$25,0)</f>
        <v>0.33597385496371851</v>
      </c>
      <c r="Q9" s="36">
        <f>IF(Raw!Q$25&gt;0,Raw!Q9/Raw!Q$25,0)</f>
        <v>0.30938137743039551</v>
      </c>
      <c r="R9" s="36">
        <f>IF(Raw!R$25&gt;0,Raw!R9/Raw!R$25,0)</f>
        <v>0.39030671597738276</v>
      </c>
      <c r="S9" s="36">
        <f>IF(Raw!S$25&gt;0,Raw!S9/Raw!S$25,0)</f>
        <v>0.41087547621527587</v>
      </c>
      <c r="T9" s="36">
        <f>IF(Raw!T$25&gt;0,Raw!T9/Raw!T$25,0)</f>
        <v>0.14999711446242303</v>
      </c>
      <c r="U9" s="36">
        <f>IF(Raw!U$25&gt;0,Raw!U9/Raw!U$25,0)</f>
        <v>0.29685915215721298</v>
      </c>
      <c r="V9" s="36">
        <f>IF(Raw!V$25&gt;0,Raw!V9/Raw!V$25,0)</f>
        <v>0.86488382443662437</v>
      </c>
      <c r="W9" s="133">
        <f>IF(Raw!W$25&gt;0,Raw!W9/Raw!W$25,0)</f>
        <v>8.1846825410897855E-2</v>
      </c>
      <c r="X9" s="36">
        <f>Raw!X9</f>
        <v>0</v>
      </c>
      <c r="Y9" s="36">
        <f>Raw!Y9</f>
        <v>195.13085776330075</v>
      </c>
      <c r="Z9" s="36">
        <f>Raw!Z9</f>
        <v>0</v>
      </c>
      <c r="AA9" s="36">
        <f>Raw!AA9</f>
        <v>0</v>
      </c>
      <c r="AB9" s="81">
        <f t="shared" si="0"/>
        <v>195.13085776330075</v>
      </c>
      <c r="AF9" t="s">
        <v>7</v>
      </c>
      <c r="AG9" s="9">
        <v>0</v>
      </c>
      <c r="AH9">
        <v>0</v>
      </c>
      <c r="AI9">
        <v>0</v>
      </c>
      <c r="AJ9">
        <v>0</v>
      </c>
      <c r="AK9">
        <v>0</v>
      </c>
      <c r="AL9">
        <v>0</v>
      </c>
      <c r="AM9">
        <v>0</v>
      </c>
      <c r="AN9">
        <v>1</v>
      </c>
      <c r="AO9">
        <v>0</v>
      </c>
      <c r="AP9">
        <v>0</v>
      </c>
      <c r="AQ9">
        <v>0</v>
      </c>
      <c r="AR9">
        <v>0</v>
      </c>
      <c r="AS9">
        <v>0</v>
      </c>
      <c r="AT9">
        <v>0</v>
      </c>
      <c r="AU9">
        <v>0</v>
      </c>
      <c r="AV9">
        <v>0</v>
      </c>
      <c r="AW9">
        <v>0</v>
      </c>
      <c r="AX9">
        <v>0</v>
      </c>
      <c r="AY9">
        <v>0</v>
      </c>
      <c r="AZ9">
        <v>0</v>
      </c>
      <c r="BA9">
        <v>0</v>
      </c>
      <c r="BB9" s="10">
        <v>0</v>
      </c>
    </row>
    <row r="10" spans="1:54">
      <c r="A10" s="1" t="s">
        <v>8</v>
      </c>
      <c r="B10" s="132">
        <f>IF(Raw!B$25&gt;0,Raw!B10/Raw!B$25,0)</f>
        <v>0</v>
      </c>
      <c r="C10" s="36">
        <f>IF(Raw!C$25&gt;0,Raw!C10/Raw!C$25,0)</f>
        <v>0</v>
      </c>
      <c r="D10" s="133">
        <f>IF(Raw!D$25&gt;0,Raw!D10/Raw!D$25,0)</f>
        <v>0</v>
      </c>
      <c r="E10" s="36">
        <f>IF(Raw!E$25&gt;0,Raw!E10/Raw!E$25,0)</f>
        <v>8.2762247275907821E-2</v>
      </c>
      <c r="F10" s="36">
        <f>IF(Raw!F$25&gt;0,Raw!F10/Raw!F$25,0)</f>
        <v>2.9825483756202871E-2</v>
      </c>
      <c r="G10" s="36">
        <f>IF(Raw!G$25&gt;0,Raw!G10/Raw!G$25,0)</f>
        <v>0</v>
      </c>
      <c r="H10" s="36">
        <f>IF(Raw!H$25&gt;0,Raw!H10/Raw!H$25,0)</f>
        <v>0</v>
      </c>
      <c r="I10" s="36">
        <f>IF(Raw!I$25&gt;0,Raw!I10/Raw!I$25,0)</f>
        <v>0</v>
      </c>
      <c r="J10" s="36">
        <f>IF(Raw!J$25&gt;0,Raw!J10/Raw!J$25,0)</f>
        <v>0</v>
      </c>
      <c r="K10" s="36">
        <f>IF(Raw!K$25&gt;0,Raw!K10/Raw!K$25,0)</f>
        <v>0</v>
      </c>
      <c r="L10" s="36">
        <f>IF(Raw!L$25&gt;0,Raw!L10/Raw!L$25,0)</f>
        <v>0</v>
      </c>
      <c r="M10" s="36">
        <f>IF(Raw!M$25&gt;0,Raw!M10/Raw!M$25,0)</f>
        <v>0</v>
      </c>
      <c r="N10" s="36">
        <f>IF(Raw!N$25&gt;0,Raw!N10/Raw!N$25,0)</f>
        <v>0</v>
      </c>
      <c r="O10" s="36">
        <f>IF(Raw!O$25&gt;0,Raw!O10/Raw!O$25,0)</f>
        <v>0</v>
      </c>
      <c r="P10" s="36">
        <f>IF(Raw!P$25&gt;0,Raw!P10/Raw!P$25,0)</f>
        <v>0.51170148969413554</v>
      </c>
      <c r="Q10" s="36">
        <f>IF(Raw!Q$25&gt;0,Raw!Q10/Raw!Q$25,0)</f>
        <v>8.7802089237229555E-2</v>
      </c>
      <c r="R10" s="36">
        <f>IF(Raw!R$25&gt;0,Raw!R10/Raw!R$25,0)</f>
        <v>0.28126020589170853</v>
      </c>
      <c r="S10" s="36">
        <f>IF(Raw!S$25&gt;0,Raw!S10/Raw!S$25,0)</f>
        <v>0.25497015717706845</v>
      </c>
      <c r="T10" s="36">
        <f>IF(Raw!T$25&gt;0,Raw!T10/Raw!T$25,0)</f>
        <v>0.21044371282787713</v>
      </c>
      <c r="U10" s="36">
        <f>IF(Raw!U$25&gt;0,Raw!U10/Raw!U$25,0)</f>
        <v>0.2442577936170752</v>
      </c>
      <c r="V10" s="36">
        <f>IF(Raw!V$25&gt;0,Raw!V10/Raw!V$25,0)</f>
        <v>0</v>
      </c>
      <c r="W10" s="133">
        <f>IF(Raw!W$25&gt;0,Raw!W10/Raw!W$25,0)</f>
        <v>9.9475372422475852E-2</v>
      </c>
      <c r="X10" s="36">
        <f>Raw!X10</f>
        <v>0</v>
      </c>
      <c r="Y10" s="36">
        <f>Raw!Y10</f>
        <v>108.0629750271444</v>
      </c>
      <c r="Z10" s="36">
        <f>Raw!Z10</f>
        <v>0</v>
      </c>
      <c r="AA10" s="36">
        <f>Raw!AA10</f>
        <v>0</v>
      </c>
      <c r="AB10" s="81">
        <f t="shared" si="0"/>
        <v>108.0629750271444</v>
      </c>
      <c r="AF10" t="s">
        <v>8</v>
      </c>
      <c r="AG10" s="9">
        <v>0</v>
      </c>
      <c r="AH10">
        <v>0</v>
      </c>
      <c r="AI10">
        <v>0</v>
      </c>
      <c r="AJ10">
        <v>0</v>
      </c>
      <c r="AK10">
        <v>0</v>
      </c>
      <c r="AL10">
        <v>0</v>
      </c>
      <c r="AM10">
        <v>0</v>
      </c>
      <c r="AN10">
        <v>0</v>
      </c>
      <c r="AO10">
        <v>1</v>
      </c>
      <c r="AP10">
        <v>0</v>
      </c>
      <c r="AQ10">
        <v>0</v>
      </c>
      <c r="AR10">
        <v>0</v>
      </c>
      <c r="AS10">
        <v>0</v>
      </c>
      <c r="AT10">
        <v>0</v>
      </c>
      <c r="AU10">
        <v>0</v>
      </c>
      <c r="AV10">
        <v>0</v>
      </c>
      <c r="AW10">
        <v>0</v>
      </c>
      <c r="AX10">
        <v>0</v>
      </c>
      <c r="AY10">
        <v>0</v>
      </c>
      <c r="AZ10">
        <v>0</v>
      </c>
      <c r="BA10">
        <v>0</v>
      </c>
      <c r="BB10" s="10">
        <v>0</v>
      </c>
    </row>
    <row r="11" spans="1:54">
      <c r="A11" s="1" t="s">
        <v>9</v>
      </c>
      <c r="B11" s="132">
        <f>IF(Raw!B$25&gt;0,Raw!B11/Raw!B$25,0)</f>
        <v>0</v>
      </c>
      <c r="C11" s="36">
        <f>IF(Raw!C$25&gt;0,Raw!C11/Raw!C$25,0)</f>
        <v>0</v>
      </c>
      <c r="D11" s="133">
        <f>IF(Raw!D$25&gt;0,Raw!D11/Raw!D$25,0)</f>
        <v>0</v>
      </c>
      <c r="E11" s="36">
        <f>IF(Raw!E$25&gt;0,Raw!E11/Raw!E$25,0)</f>
        <v>1.6337540879360648E-2</v>
      </c>
      <c r="F11" s="36">
        <f>IF(Raw!F$25&gt;0,Raw!F11/Raw!F$25,0)</f>
        <v>5.8876489722327497E-3</v>
      </c>
      <c r="G11" s="36">
        <f>IF(Raw!G$25&gt;0,Raw!G11/Raw!G$25,0)</f>
        <v>0</v>
      </c>
      <c r="H11" s="36">
        <f>IF(Raw!H$25&gt;0,Raw!H11/Raw!H$25,0)</f>
        <v>0</v>
      </c>
      <c r="I11" s="36">
        <f>IF(Raw!I$25&gt;0,Raw!I11/Raw!I$25,0)</f>
        <v>0</v>
      </c>
      <c r="J11" s="36">
        <f>IF(Raw!J$25&gt;0,Raw!J11/Raw!J$25,0)</f>
        <v>0</v>
      </c>
      <c r="K11" s="36">
        <f>IF(Raw!K$25&gt;0,Raw!K11/Raw!K$25,0)</f>
        <v>0</v>
      </c>
      <c r="L11" s="36">
        <f>IF(Raw!L$25&gt;0,Raw!L11/Raw!L$25,0)</f>
        <v>0</v>
      </c>
      <c r="M11" s="36">
        <f>IF(Raw!M$25&gt;0,Raw!M11/Raw!M$25,0)</f>
        <v>0</v>
      </c>
      <c r="N11" s="36">
        <f>IF(Raw!N$25&gt;0,Raw!N11/Raw!N$25,0)</f>
        <v>0</v>
      </c>
      <c r="O11" s="36">
        <f>IF(Raw!O$25&gt;0,Raw!O11/Raw!O$25,0)</f>
        <v>0</v>
      </c>
      <c r="P11" s="36">
        <f>IF(Raw!P$25&gt;0,Raw!P11/Raw!P$25,0)</f>
        <v>7.6049053670041366E-3</v>
      </c>
      <c r="Q11" s="36">
        <f>IF(Raw!Q$25&gt;0,Raw!Q11/Raw!Q$25,0)</f>
        <v>6.9135503336401234E-4</v>
      </c>
      <c r="R11" s="36">
        <f>IF(Raw!R$25&gt;0,Raw!R11/Raw!R$25,0)</f>
        <v>4.6544242109738988E-3</v>
      </c>
      <c r="S11" s="36">
        <f>IF(Raw!S$25&gt;0,Raw!S11/Raw!S$25,0)</f>
        <v>2.7066895666355462E-3</v>
      </c>
      <c r="T11" s="36">
        <f>IF(Raw!T$25&gt;0,Raw!T11/Raw!T$25,0)</f>
        <v>0.40611159049975437</v>
      </c>
      <c r="U11" s="36">
        <f>IF(Raw!U$25&gt;0,Raw!U11/Raw!U$25,0)</f>
        <v>7.2912774214052307E-3</v>
      </c>
      <c r="V11" s="36">
        <f>IF(Raw!V$25&gt;0,Raw!V11/Raw!V$25,0)</f>
        <v>1.7416106009597755E-4</v>
      </c>
      <c r="W11" s="133">
        <f>IF(Raw!W$25&gt;0,Raw!W11/Raw!W$25,0)</f>
        <v>6.2959096469921427E-3</v>
      </c>
      <c r="X11" s="36">
        <f>Raw!X11</f>
        <v>0</v>
      </c>
      <c r="Y11" s="36">
        <f>Raw!Y11</f>
        <v>5.5575244299674269</v>
      </c>
      <c r="Z11" s="36">
        <f>Raw!Z11</f>
        <v>0</v>
      </c>
      <c r="AA11" s="36">
        <f>Raw!AA11</f>
        <v>0</v>
      </c>
      <c r="AB11" s="81">
        <f t="shared" si="0"/>
        <v>5.5575244299674269</v>
      </c>
      <c r="AF11" t="s">
        <v>9</v>
      </c>
      <c r="AG11" s="9">
        <v>0</v>
      </c>
      <c r="AH11">
        <v>0</v>
      </c>
      <c r="AI11">
        <v>0</v>
      </c>
      <c r="AJ11">
        <v>0</v>
      </c>
      <c r="AK11">
        <v>0</v>
      </c>
      <c r="AL11">
        <v>0</v>
      </c>
      <c r="AM11">
        <v>0</v>
      </c>
      <c r="AN11">
        <v>0</v>
      </c>
      <c r="AO11">
        <v>0</v>
      </c>
      <c r="AP11">
        <v>1</v>
      </c>
      <c r="AQ11">
        <v>0</v>
      </c>
      <c r="AR11">
        <v>0</v>
      </c>
      <c r="AS11">
        <v>0</v>
      </c>
      <c r="AT11">
        <v>0</v>
      </c>
      <c r="AU11">
        <v>0</v>
      </c>
      <c r="AV11">
        <v>0</v>
      </c>
      <c r="AW11">
        <v>0</v>
      </c>
      <c r="AX11">
        <v>0</v>
      </c>
      <c r="AY11">
        <v>0</v>
      </c>
      <c r="AZ11">
        <v>0</v>
      </c>
      <c r="BA11">
        <v>0</v>
      </c>
      <c r="BB11" s="10">
        <v>0</v>
      </c>
    </row>
    <row r="12" spans="1:54">
      <c r="A12" s="1" t="s">
        <v>78</v>
      </c>
      <c r="B12" s="132">
        <f>IF(Raw!B$25&gt;0,Raw!B12/Raw!B$25,0)</f>
        <v>0</v>
      </c>
      <c r="C12" s="36">
        <f>IF(Raw!C$25&gt;0,Raw!C12/Raw!C$25,0)</f>
        <v>0</v>
      </c>
      <c r="D12" s="133">
        <f>IF(Raw!D$25&gt;0,Raw!D12/Raw!D$25,0)</f>
        <v>0</v>
      </c>
      <c r="E12" s="36">
        <f>IF(Raw!E$25&gt;0,Raw!E12/Raw!E$25,0)</f>
        <v>4.3502623785482185E-3</v>
      </c>
      <c r="F12" s="36">
        <f>IF(Raw!F$25&gt;0,Raw!F12/Raw!F$25,0)</f>
        <v>1.5677278490766687E-3</v>
      </c>
      <c r="G12" s="36">
        <f>IF(Raw!G$25&gt;0,Raw!G12/Raw!G$25,0)</f>
        <v>0</v>
      </c>
      <c r="H12" s="36">
        <f>IF(Raw!H$25&gt;0,Raw!H12/Raw!H$25,0)</f>
        <v>0</v>
      </c>
      <c r="I12" s="36">
        <f>IF(Raw!I$25&gt;0,Raw!I12/Raw!I$25,0)</f>
        <v>0</v>
      </c>
      <c r="J12" s="36">
        <f>IF(Raw!J$25&gt;0,Raw!J12/Raw!J$25,0)</f>
        <v>0</v>
      </c>
      <c r="K12" s="36">
        <f>IF(Raw!K$25&gt;0,Raw!K12/Raw!K$25,0)</f>
        <v>0</v>
      </c>
      <c r="L12" s="36">
        <f>IF(Raw!L$25&gt;0,Raw!L12/Raw!L$25,0)</f>
        <v>0</v>
      </c>
      <c r="M12" s="36">
        <f>IF(Raw!M$25&gt;0,Raw!M12/Raw!M$25,0)</f>
        <v>0</v>
      </c>
      <c r="N12" s="36">
        <f>IF(Raw!N$25&gt;0,Raw!N12/Raw!N$25,0)</f>
        <v>0</v>
      </c>
      <c r="O12" s="36">
        <f>IF(Raw!O$25&gt;0,Raw!O12/Raw!O$25,0)</f>
        <v>0</v>
      </c>
      <c r="P12" s="36">
        <f>IF(Raw!P$25&gt;0,Raw!P12/Raw!P$25,0)</f>
        <v>0</v>
      </c>
      <c r="Q12" s="36">
        <f>IF(Raw!Q$25&gt;0,Raw!Q12/Raw!Q$25,0)</f>
        <v>1.2617229358893225E-2</v>
      </c>
      <c r="R12" s="36">
        <f>IF(Raw!R$25&gt;0,Raw!R12/Raw!R$25,0)</f>
        <v>4.6876700981951409E-2</v>
      </c>
      <c r="S12" s="36">
        <f>IF(Raw!S$25&gt;0,Raw!S12/Raw!S$25,0)</f>
        <v>9.7440824398879675E-3</v>
      </c>
      <c r="T12" s="36">
        <f>IF(Raw!T$25&gt;0,Raw!T12/Raw!T$25,0)</f>
        <v>4.4775258048484497E-4</v>
      </c>
      <c r="U12" s="36">
        <f>IF(Raw!U$25&gt;0,Raw!U12/Raw!U$25,0)</f>
        <v>5.2080553010037363E-3</v>
      </c>
      <c r="V12" s="36">
        <f>IF(Raw!V$25&gt;0,Raw!V12/Raw!V$25,0)</f>
        <v>0</v>
      </c>
      <c r="W12" s="133">
        <f>IF(Raw!W$25&gt;0,Raw!W12/Raw!W$25,0)</f>
        <v>0.13599164837503028</v>
      </c>
      <c r="X12" s="36">
        <f>Raw!X12</f>
        <v>0</v>
      </c>
      <c r="Y12" s="36">
        <f>Raw!Y12</f>
        <v>8.336286644951139</v>
      </c>
      <c r="Z12" s="36">
        <f>Raw!Z12</f>
        <v>0</v>
      </c>
      <c r="AA12" s="36">
        <f>Raw!AA12</f>
        <v>0</v>
      </c>
      <c r="AB12" s="81">
        <f t="shared" si="0"/>
        <v>8.336286644951139</v>
      </c>
      <c r="AF12" t="s">
        <v>78</v>
      </c>
      <c r="AG12" s="9">
        <v>0</v>
      </c>
      <c r="AH12">
        <v>0</v>
      </c>
      <c r="AI12">
        <v>0</v>
      </c>
      <c r="AJ12">
        <v>0</v>
      </c>
      <c r="AK12">
        <v>0</v>
      </c>
      <c r="AL12">
        <v>0</v>
      </c>
      <c r="AM12">
        <v>0</v>
      </c>
      <c r="AN12">
        <v>0</v>
      </c>
      <c r="AO12">
        <v>0</v>
      </c>
      <c r="AP12">
        <v>0</v>
      </c>
      <c r="AQ12">
        <v>1</v>
      </c>
      <c r="AR12">
        <v>0</v>
      </c>
      <c r="AS12">
        <v>0</v>
      </c>
      <c r="AT12">
        <v>0</v>
      </c>
      <c r="AU12">
        <v>0</v>
      </c>
      <c r="AV12">
        <v>0</v>
      </c>
      <c r="AW12">
        <v>0</v>
      </c>
      <c r="AX12">
        <v>0</v>
      </c>
      <c r="AY12">
        <v>0</v>
      </c>
      <c r="AZ12">
        <v>0</v>
      </c>
      <c r="BA12">
        <v>0</v>
      </c>
      <c r="BB12" s="10">
        <v>0</v>
      </c>
    </row>
    <row r="13" spans="1:54">
      <c r="A13" s="1" t="s">
        <v>10</v>
      </c>
      <c r="B13" s="132">
        <f>IF(Raw!B$25&gt;0,Raw!B13/Raw!B$25,0)</f>
        <v>0</v>
      </c>
      <c r="C13" s="36">
        <f>IF(Raw!C$25&gt;0,Raw!C13/Raw!C$25,0)</f>
        <v>0</v>
      </c>
      <c r="D13" s="133">
        <f>IF(Raw!D$25&gt;0,Raw!D13/Raw!D$25,0)</f>
        <v>0</v>
      </c>
      <c r="E13" s="36">
        <f>IF(Raw!E$25&gt;0,Raw!E13/Raw!E$25,0)</f>
        <v>0</v>
      </c>
      <c r="F13" s="36">
        <f>IF(Raw!F$25&gt;0,Raw!F13/Raw!F$25,0)</f>
        <v>0</v>
      </c>
      <c r="G13" s="36">
        <f>IF(Raw!G$25&gt;0,Raw!G13/Raw!G$25,0)</f>
        <v>0</v>
      </c>
      <c r="H13" s="36">
        <f>IF(Raw!H$25&gt;0,Raw!H13/Raw!H$25,0)</f>
        <v>0</v>
      </c>
      <c r="I13" s="36">
        <f>IF(Raw!I$25&gt;0,Raw!I13/Raw!I$25,0)</f>
        <v>0</v>
      </c>
      <c r="J13" s="36">
        <f>IF(Raw!J$25&gt;0,Raw!J13/Raw!J$25,0)</f>
        <v>0</v>
      </c>
      <c r="K13" s="36">
        <f>IF(Raw!K$25&gt;0,Raw!K13/Raw!K$25,0)</f>
        <v>0</v>
      </c>
      <c r="L13" s="36">
        <f>IF(Raw!L$25&gt;0,Raw!L13/Raw!L$25,0)</f>
        <v>0</v>
      </c>
      <c r="M13" s="36">
        <f>IF(Raw!M$25&gt;0,Raw!M13/Raw!M$25,0)</f>
        <v>0</v>
      </c>
      <c r="N13" s="36">
        <f>IF(Raw!N$25&gt;0,Raw!N13/Raw!N$25,0)</f>
        <v>0</v>
      </c>
      <c r="O13" s="36">
        <f>IF(Raw!O$25&gt;0,Raw!O13/Raw!O$25,0)</f>
        <v>0</v>
      </c>
      <c r="P13" s="36">
        <f>IF(Raw!P$25&gt;0,Raw!P13/Raw!P$25,0)</f>
        <v>9.7777354718624632E-3</v>
      </c>
      <c r="Q13" s="36">
        <f>IF(Raw!Q$25&gt;0,Raw!Q13/Raw!Q$25,0)</f>
        <v>0.19091769246347204</v>
      </c>
      <c r="R13" s="36">
        <f>IF(Raw!R$25&gt;0,Raw!R13/Raw!R$25,0)</f>
        <v>8.2187332777986538E-2</v>
      </c>
      <c r="S13" s="36">
        <f>IF(Raw!S$25&gt;0,Raw!S13/Raw!S$25,0)</f>
        <v>0.11205694805871162</v>
      </c>
      <c r="T13" s="36">
        <f>IF(Raw!T$25&gt;0,Raw!T13/Raw!T$25,0)</f>
        <v>5.8834689075708622E-2</v>
      </c>
      <c r="U13" s="36">
        <f>IF(Raw!U$25&gt;0,Raw!U13/Raw!U$25,0)</f>
        <v>0.18686502420001411</v>
      </c>
      <c r="V13" s="36">
        <f>IF(Raw!V$25&gt;0,Raw!V13/Raw!V$25,0)</f>
        <v>0</v>
      </c>
      <c r="W13" s="133">
        <f>IF(Raw!W$25&gt;0,Raw!W13/Raw!W$25,0)</f>
        <v>0.32486893778479459</v>
      </c>
      <c r="X13" s="36">
        <f>Raw!X13</f>
        <v>0</v>
      </c>
      <c r="Y13" s="36">
        <f>Raw!Y13</f>
        <v>268.05458536782373</v>
      </c>
      <c r="Z13" s="36">
        <f>Raw!Z13</f>
        <v>0</v>
      </c>
      <c r="AA13" s="36">
        <f>Raw!AA13</f>
        <v>49.232506584885122</v>
      </c>
      <c r="AB13" s="81">
        <f t="shared" si="0"/>
        <v>317.28709195270886</v>
      </c>
      <c r="AF13" t="s">
        <v>10</v>
      </c>
      <c r="AG13" s="9">
        <v>0</v>
      </c>
      <c r="AH13">
        <v>0</v>
      </c>
      <c r="AI13">
        <v>0</v>
      </c>
      <c r="AJ13">
        <v>0</v>
      </c>
      <c r="AK13">
        <v>0</v>
      </c>
      <c r="AL13">
        <v>0</v>
      </c>
      <c r="AM13">
        <v>0</v>
      </c>
      <c r="AN13">
        <v>0</v>
      </c>
      <c r="AO13">
        <v>0</v>
      </c>
      <c r="AP13">
        <v>0</v>
      </c>
      <c r="AQ13">
        <v>0</v>
      </c>
      <c r="AR13">
        <v>1</v>
      </c>
      <c r="AS13">
        <v>0</v>
      </c>
      <c r="AT13">
        <v>0</v>
      </c>
      <c r="AU13">
        <v>0</v>
      </c>
      <c r="AV13">
        <v>0</v>
      </c>
      <c r="AW13">
        <v>0</v>
      </c>
      <c r="AX13">
        <v>0</v>
      </c>
      <c r="AY13">
        <v>0</v>
      </c>
      <c r="AZ13">
        <v>0</v>
      </c>
      <c r="BA13">
        <v>0</v>
      </c>
      <c r="BB13" s="10">
        <v>0</v>
      </c>
    </row>
    <row r="14" spans="1:54">
      <c r="A14" s="1" t="s">
        <v>11</v>
      </c>
      <c r="B14" s="132">
        <f>IF(Raw!B$25&gt;0,Raw!B14/Raw!B$25,0)</f>
        <v>0</v>
      </c>
      <c r="C14" s="36">
        <f>IF(Raw!C$25&gt;0,Raw!C14/Raw!C$25,0)</f>
        <v>0</v>
      </c>
      <c r="D14" s="133">
        <f>IF(Raw!D$25&gt;0,Raw!D14/Raw!D$25,0)</f>
        <v>0</v>
      </c>
      <c r="E14" s="36">
        <f>IF(Raw!E$25&gt;0,Raw!E14/Raw!E$25,0)</f>
        <v>0</v>
      </c>
      <c r="F14" s="36">
        <f>IF(Raw!F$25&gt;0,Raw!F14/Raw!F$25,0)</f>
        <v>0</v>
      </c>
      <c r="G14" s="36">
        <f>IF(Raw!G$25&gt;0,Raw!G14/Raw!G$25,0)</f>
        <v>0</v>
      </c>
      <c r="H14" s="36">
        <f>IF(Raw!H$25&gt;0,Raw!H14/Raw!H$25,0)</f>
        <v>0</v>
      </c>
      <c r="I14" s="36">
        <f>IF(Raw!I$25&gt;0,Raw!I14/Raw!I$25,0)</f>
        <v>0</v>
      </c>
      <c r="J14" s="36">
        <f>IF(Raw!J$25&gt;0,Raw!J14/Raw!J$25,0)</f>
        <v>0</v>
      </c>
      <c r="K14" s="36">
        <f>IF(Raw!K$25&gt;0,Raw!K14/Raw!K$25,0)</f>
        <v>0</v>
      </c>
      <c r="L14" s="36">
        <f>IF(Raw!L$25&gt;0,Raw!L14/Raw!L$25,0)</f>
        <v>0</v>
      </c>
      <c r="M14" s="36">
        <f>IF(Raw!M$25&gt;0,Raw!M14/Raw!M$25,0)</f>
        <v>0</v>
      </c>
      <c r="N14" s="36">
        <f>IF(Raw!N$25&gt;0,Raw!N14/Raw!N$25,0)</f>
        <v>0</v>
      </c>
      <c r="O14" s="36">
        <f>IF(Raw!O$25&gt;0,Raw!O14/Raw!O$25,0)</f>
        <v>0</v>
      </c>
      <c r="P14" s="36">
        <f>IF(Raw!P$25&gt;0,Raw!P14/Raw!P$25,0)</f>
        <v>0</v>
      </c>
      <c r="Q14" s="36">
        <f>IF(Raw!Q$25&gt;0,Raw!Q14/Raw!Q$25,0)</f>
        <v>0.17576549464891073</v>
      </c>
      <c r="R14" s="36">
        <f>IF(Raw!R$25&gt;0,Raw!R14/Raw!R$25,0)</f>
        <v>3.7357878535448377E-2</v>
      </c>
      <c r="S14" s="36">
        <f>IF(Raw!S$25&gt;0,Raw!S14/Raw!S$25,0)</f>
        <v>5.6028474029355811E-2</v>
      </c>
      <c r="T14" s="36">
        <f>IF(Raw!T$25&gt;0,Raw!T14/Raw!T$25,0)</f>
        <v>2.9417344537854311E-2</v>
      </c>
      <c r="U14" s="36">
        <f>IF(Raw!U$25&gt;0,Raw!U14/Raw!U$25,0)</f>
        <v>9.3432512100007054E-2</v>
      </c>
      <c r="V14" s="36">
        <f>IF(Raw!V$25&gt;0,Raw!V14/Raw!V$25,0)</f>
        <v>0</v>
      </c>
      <c r="W14" s="133">
        <f>IF(Raw!W$25&gt;0,Raw!W14/Raw!W$25,0)</f>
        <v>0.16243446889239729</v>
      </c>
      <c r="X14" s="36">
        <f>Raw!X14</f>
        <v>0</v>
      </c>
      <c r="Y14" s="36">
        <f>Raw!Y14</f>
        <v>183.83928653366357</v>
      </c>
      <c r="Z14" s="36">
        <f>Raw!Z14</f>
        <v>0</v>
      </c>
      <c r="AA14" s="36">
        <f>Raw!AA14</f>
        <v>33.765021674259359</v>
      </c>
      <c r="AB14" s="81">
        <f t="shared" si="0"/>
        <v>217.60430820792294</v>
      </c>
      <c r="AF14" t="s">
        <v>11</v>
      </c>
      <c r="AG14" s="9">
        <v>0</v>
      </c>
      <c r="AH14">
        <v>0</v>
      </c>
      <c r="AI14">
        <v>0</v>
      </c>
      <c r="AJ14">
        <v>0</v>
      </c>
      <c r="AK14">
        <v>0</v>
      </c>
      <c r="AL14">
        <v>0</v>
      </c>
      <c r="AM14">
        <v>0</v>
      </c>
      <c r="AN14">
        <v>0</v>
      </c>
      <c r="AO14">
        <v>0</v>
      </c>
      <c r="AP14">
        <v>0</v>
      </c>
      <c r="AQ14">
        <v>0</v>
      </c>
      <c r="AR14">
        <v>0</v>
      </c>
      <c r="AS14">
        <v>1</v>
      </c>
      <c r="AT14">
        <v>0</v>
      </c>
      <c r="AU14">
        <v>0</v>
      </c>
      <c r="AV14">
        <v>0</v>
      </c>
      <c r="AW14">
        <v>0</v>
      </c>
      <c r="AX14">
        <v>0</v>
      </c>
      <c r="AY14">
        <v>0</v>
      </c>
      <c r="AZ14">
        <v>0</v>
      </c>
      <c r="BA14">
        <v>0</v>
      </c>
      <c r="BB14" s="10">
        <v>0</v>
      </c>
    </row>
    <row r="15" spans="1:54">
      <c r="A15" s="1" t="s">
        <v>12</v>
      </c>
      <c r="B15" s="132">
        <f>IF(Raw!B$25&gt;0,Raw!B15/Raw!B$25,0)</f>
        <v>0</v>
      </c>
      <c r="C15" s="36">
        <f>IF(Raw!C$25&gt;0,Raw!C15/Raw!C$25,0)</f>
        <v>0</v>
      </c>
      <c r="D15" s="133">
        <f>IF(Raw!D$25&gt;0,Raw!D15/Raw!D$25,0)</f>
        <v>0</v>
      </c>
      <c r="E15" s="36">
        <f>IF(Raw!E$25&gt;0,Raw!E15/Raw!E$25,0)</f>
        <v>0</v>
      </c>
      <c r="F15" s="36">
        <f>IF(Raw!F$25&gt;0,Raw!F15/Raw!F$25,0)</f>
        <v>0</v>
      </c>
      <c r="G15" s="36">
        <f>IF(Raw!G$25&gt;0,Raw!G15/Raw!G$25,0)</f>
        <v>0</v>
      </c>
      <c r="H15" s="36">
        <f>IF(Raw!H$25&gt;0,Raw!H15/Raw!H$25,0)</f>
        <v>0</v>
      </c>
      <c r="I15" s="36">
        <f>IF(Raw!I$25&gt;0,Raw!I15/Raw!I$25,0)</f>
        <v>0</v>
      </c>
      <c r="J15" s="36">
        <f>IF(Raw!J$25&gt;0,Raw!J15/Raw!J$25,0)</f>
        <v>0</v>
      </c>
      <c r="K15" s="36">
        <f>IF(Raw!K$25&gt;0,Raw!K15/Raw!K$25,0)</f>
        <v>0</v>
      </c>
      <c r="L15" s="36">
        <f>IF(Raw!L$25&gt;0,Raw!L15/Raw!L$25,0)</f>
        <v>0</v>
      </c>
      <c r="M15" s="36">
        <f>IF(Raw!M$25&gt;0,Raw!M15/Raw!M$25,0)</f>
        <v>0</v>
      </c>
      <c r="N15" s="36">
        <f>IF(Raw!N$25&gt;0,Raw!N15/Raw!N$25,0)</f>
        <v>0</v>
      </c>
      <c r="O15" s="36">
        <f>IF(Raw!O$25&gt;0,Raw!O15/Raw!O$25,0)</f>
        <v>0</v>
      </c>
      <c r="P15" s="36">
        <f>IF(Raw!P$25&gt;0,Raw!P15/Raw!P$25,0)</f>
        <v>0</v>
      </c>
      <c r="Q15" s="36">
        <f>IF(Raw!Q$25&gt;0,Raw!Q15/Raw!Q$25,0)</f>
        <v>8.7882747324455363E-2</v>
      </c>
      <c r="R15" s="36">
        <f>IF(Raw!R$25&gt;0,Raw!R15/Raw!R$25,0)</f>
        <v>2.2414727121269008E-2</v>
      </c>
      <c r="S15" s="36">
        <f>IF(Raw!S$25&gt;0,Raw!S15/Raw!S$25,0)</f>
        <v>1.8676158009785268E-2</v>
      </c>
      <c r="T15" s="36">
        <f>IF(Raw!T$25&gt;0,Raw!T15/Raw!T$25,0)</f>
        <v>9.8057815126181037E-3</v>
      </c>
      <c r="U15" s="36">
        <f>IF(Raw!U$25&gt;0,Raw!U15/Raw!U$25,0)</f>
        <v>3.1144170700002347E-2</v>
      </c>
      <c r="V15" s="36">
        <f>IF(Raw!V$25&gt;0,Raw!V15/Raw!V$25,0)</f>
        <v>0</v>
      </c>
      <c r="W15" s="133">
        <f>IF(Raw!W$25&gt;0,Raw!W15/Raw!W$25,0)</f>
        <v>5.4144822964132429E-2</v>
      </c>
      <c r="X15" s="36">
        <f>Raw!X15</f>
        <v>0</v>
      </c>
      <c r="Y15" s="36">
        <f>Raw!Y15</f>
        <v>84.098484233148909</v>
      </c>
      <c r="Z15" s="36">
        <f>Raw!Z15</f>
        <v>0</v>
      </c>
      <c r="AA15" s="36">
        <f>Raw!AA15</f>
        <v>15.446030043119556</v>
      </c>
      <c r="AB15" s="81">
        <f t="shared" si="0"/>
        <v>99.544514276268472</v>
      </c>
      <c r="AF15" t="s">
        <v>12</v>
      </c>
      <c r="AG15" s="9">
        <v>0</v>
      </c>
      <c r="AH15">
        <v>0</v>
      </c>
      <c r="AI15">
        <v>0</v>
      </c>
      <c r="AJ15">
        <v>0</v>
      </c>
      <c r="AK15">
        <v>0</v>
      </c>
      <c r="AL15">
        <v>0</v>
      </c>
      <c r="AM15">
        <v>0</v>
      </c>
      <c r="AN15">
        <v>0</v>
      </c>
      <c r="AO15">
        <v>0</v>
      </c>
      <c r="AP15">
        <v>0</v>
      </c>
      <c r="AQ15">
        <v>0</v>
      </c>
      <c r="AR15">
        <v>0</v>
      </c>
      <c r="AS15">
        <v>0</v>
      </c>
      <c r="AT15">
        <v>1</v>
      </c>
      <c r="AU15">
        <v>0</v>
      </c>
      <c r="AV15">
        <v>0</v>
      </c>
      <c r="AW15">
        <v>0</v>
      </c>
      <c r="AX15">
        <v>0</v>
      </c>
      <c r="AY15">
        <v>0</v>
      </c>
      <c r="AZ15">
        <v>0</v>
      </c>
      <c r="BA15">
        <v>0</v>
      </c>
      <c r="BB15" s="10">
        <v>0</v>
      </c>
    </row>
    <row r="16" spans="1:54">
      <c r="A16" s="1" t="s">
        <v>13</v>
      </c>
      <c r="B16" s="132">
        <f>IF(Raw!B$25&gt;0,Raw!B16/Raw!B$25,0)</f>
        <v>0</v>
      </c>
      <c r="C16" s="36">
        <f>IF(Raw!C$25&gt;0,Raw!C16/Raw!C$25,0)</f>
        <v>0</v>
      </c>
      <c r="D16" s="133">
        <f>IF(Raw!D$25&gt;0,Raw!D16/Raw!D$25,0)</f>
        <v>0</v>
      </c>
      <c r="E16" s="36">
        <f>IF(Raw!E$25&gt;0,Raw!E16/Raw!E$25,0)</f>
        <v>1.5986386679877267E-2</v>
      </c>
      <c r="F16" s="36">
        <f>IF(Raw!F$25&gt;0,Raw!F16/Raw!F$25,0)</f>
        <v>5.7611016125688856E-3</v>
      </c>
      <c r="G16" s="36">
        <f>IF(Raw!G$25&gt;0,Raw!G16/Raw!G$25,0)</f>
        <v>0</v>
      </c>
      <c r="H16" s="36">
        <f>IF(Raw!H$25&gt;0,Raw!H16/Raw!H$25,0)</f>
        <v>0</v>
      </c>
      <c r="I16" s="36">
        <f>IF(Raw!I$25&gt;0,Raw!I16/Raw!I$25,0)</f>
        <v>0</v>
      </c>
      <c r="J16" s="36">
        <f>IF(Raw!J$25&gt;0,Raw!J16/Raw!J$25,0)</f>
        <v>0</v>
      </c>
      <c r="K16" s="36">
        <f>IF(Raw!K$25&gt;0,Raw!K16/Raw!K$25,0)</f>
        <v>0</v>
      </c>
      <c r="L16" s="36">
        <f>IF(Raw!L$25&gt;0,Raw!L16/Raw!L$25,0)</f>
        <v>0</v>
      </c>
      <c r="M16" s="36">
        <f>IF(Raw!M$25&gt;0,Raw!M16/Raw!M$25,0)</f>
        <v>0</v>
      </c>
      <c r="N16" s="36">
        <f>IF(Raw!N$25&gt;0,Raw!N16/Raw!N$25,0)</f>
        <v>0</v>
      </c>
      <c r="O16" s="36">
        <f>IF(Raw!O$25&gt;0,Raw!O16/Raw!O$25,0)</f>
        <v>0</v>
      </c>
      <c r="P16" s="36">
        <f>IF(Raw!P$25&gt;0,Raw!P16/Raw!P$25,0)</f>
        <v>0</v>
      </c>
      <c r="Q16" s="36">
        <f>IF(Raw!Q$25&gt;0,Raw!Q16/Raw!Q$25,0)</f>
        <v>0</v>
      </c>
      <c r="R16" s="36">
        <f>IF(Raw!R$25&gt;0,Raw!R16/Raw!R$25,0)</f>
        <v>0</v>
      </c>
      <c r="S16" s="36">
        <f>IF(Raw!S$25&gt;0,Raw!S16/Raw!S$25,0)</f>
        <v>0</v>
      </c>
      <c r="T16" s="36">
        <f>IF(Raw!T$25&gt;0,Raw!T16/Raw!T$25,0)</f>
        <v>0</v>
      </c>
      <c r="U16" s="36">
        <f>IF(Raw!U$25&gt;0,Raw!U16/Raw!U$25,0)</f>
        <v>0</v>
      </c>
      <c r="V16" s="36">
        <f>IF(Raw!V$25&gt;0,Raw!V16/Raw!V$25,0)</f>
        <v>0</v>
      </c>
      <c r="W16" s="133">
        <f>IF(Raw!W$25&gt;0,Raw!W16/Raw!W$25,0)</f>
        <v>0</v>
      </c>
      <c r="X16" s="36">
        <f>Raw!X16</f>
        <v>1173.2380224508886</v>
      </c>
      <c r="Y16" s="36">
        <f>Raw!Y16</f>
        <v>0</v>
      </c>
      <c r="Z16" s="36">
        <f>Raw!Z16</f>
        <v>0</v>
      </c>
      <c r="AA16" s="36">
        <f>Raw!AA16</f>
        <v>0</v>
      </c>
      <c r="AB16" s="81">
        <f t="shared" si="0"/>
        <v>1173.2380224508886</v>
      </c>
      <c r="AF16" t="s">
        <v>13</v>
      </c>
      <c r="AG16" s="9">
        <v>0</v>
      </c>
      <c r="AH16">
        <v>0</v>
      </c>
      <c r="AI16">
        <v>0</v>
      </c>
      <c r="AJ16">
        <v>0</v>
      </c>
      <c r="AK16">
        <v>0</v>
      </c>
      <c r="AL16">
        <v>0</v>
      </c>
      <c r="AM16">
        <v>0</v>
      </c>
      <c r="AN16">
        <v>0</v>
      </c>
      <c r="AO16">
        <v>0</v>
      </c>
      <c r="AP16">
        <v>0</v>
      </c>
      <c r="AQ16">
        <v>0</v>
      </c>
      <c r="AR16">
        <v>0</v>
      </c>
      <c r="AS16">
        <v>0</v>
      </c>
      <c r="AT16">
        <v>0</v>
      </c>
      <c r="AU16">
        <v>1</v>
      </c>
      <c r="AV16">
        <v>0</v>
      </c>
      <c r="AW16">
        <v>0</v>
      </c>
      <c r="AX16">
        <v>0</v>
      </c>
      <c r="AY16">
        <v>0</v>
      </c>
      <c r="AZ16">
        <v>0</v>
      </c>
      <c r="BA16">
        <v>0</v>
      </c>
      <c r="BB16" s="10">
        <v>0</v>
      </c>
    </row>
    <row r="17" spans="1:54">
      <c r="A17" s="1" t="s">
        <v>14</v>
      </c>
      <c r="B17" s="132">
        <f>IF(Raw!B$25&gt;0,Raw!B17/Raw!B$25,0)</f>
        <v>0</v>
      </c>
      <c r="C17" s="36">
        <f>IF(Raw!C$25&gt;0,Raw!C17/Raw!C$25,0)</f>
        <v>0</v>
      </c>
      <c r="D17" s="133">
        <f>IF(Raw!D$25&gt;0,Raw!D17/Raw!D$25,0)</f>
        <v>0</v>
      </c>
      <c r="E17" s="36">
        <f>IF(Raw!E$25&gt;0,Raw!E17/Raw!E$25,0)</f>
        <v>3.3766254492650166E-2</v>
      </c>
      <c r="F17" s="36">
        <f>IF(Raw!F$25&gt;0,Raw!F17/Raw!F$25,0)</f>
        <v>1.216852983125213E-2</v>
      </c>
      <c r="G17" s="36">
        <f>IF(Raw!G$25&gt;0,Raw!G17/Raw!G$25,0)</f>
        <v>0</v>
      </c>
      <c r="H17" s="36">
        <f>IF(Raw!H$25&gt;0,Raw!H17/Raw!H$25,0)</f>
        <v>0</v>
      </c>
      <c r="I17" s="36">
        <f>IF(Raw!I$25&gt;0,Raw!I17/Raw!I$25,0)</f>
        <v>0</v>
      </c>
      <c r="J17" s="36">
        <f>IF(Raw!J$25&gt;0,Raw!J17/Raw!J$25,0)</f>
        <v>0</v>
      </c>
      <c r="K17" s="36">
        <f>IF(Raw!K$25&gt;0,Raw!K17/Raw!K$25,0)</f>
        <v>0</v>
      </c>
      <c r="L17" s="36">
        <f>IF(Raw!L$25&gt;0,Raw!L17/Raw!L$25,0)</f>
        <v>0</v>
      </c>
      <c r="M17" s="36">
        <f>IF(Raw!M$25&gt;0,Raw!M17/Raw!M$25,0)</f>
        <v>0</v>
      </c>
      <c r="N17" s="36">
        <f>IF(Raw!N$25&gt;0,Raw!N17/Raw!N$25,0)</f>
        <v>0</v>
      </c>
      <c r="O17" s="36">
        <f>IF(Raw!O$25&gt;0,Raw!O17/Raw!O$25,0)</f>
        <v>0</v>
      </c>
      <c r="P17" s="36">
        <f>IF(Raw!P$25&gt;0,Raw!P17/Raw!P$25,0)</f>
        <v>0</v>
      </c>
      <c r="Q17" s="36">
        <f>IF(Raw!Q$25&gt;0,Raw!Q17/Raw!Q$25,0)</f>
        <v>0</v>
      </c>
      <c r="R17" s="36">
        <f>IF(Raw!R$25&gt;0,Raw!R17/Raw!R$25,0)</f>
        <v>0</v>
      </c>
      <c r="S17" s="36">
        <f>IF(Raw!S$25&gt;0,Raw!S17/Raw!S$25,0)</f>
        <v>0</v>
      </c>
      <c r="T17" s="36">
        <f>IF(Raw!T$25&gt;0,Raw!T17/Raw!T$25,0)</f>
        <v>0</v>
      </c>
      <c r="U17" s="36">
        <f>IF(Raw!U$25&gt;0,Raw!U17/Raw!U$25,0)</f>
        <v>0</v>
      </c>
      <c r="V17" s="36">
        <f>IF(Raw!V$25&gt;0,Raw!V17/Raw!V$25,0)</f>
        <v>0</v>
      </c>
      <c r="W17" s="133">
        <f>IF(Raw!W$25&gt;0,Raw!W17/Raw!W$25,0)</f>
        <v>0</v>
      </c>
      <c r="X17" s="36">
        <f>Raw!X17</f>
        <v>1778.221169735305</v>
      </c>
      <c r="Y17" s="36">
        <f>Raw!Y17</f>
        <v>0</v>
      </c>
      <c r="Z17" s="36">
        <f>Raw!Z17</f>
        <v>0</v>
      </c>
      <c r="AA17" s="36">
        <f>Raw!AA17</f>
        <v>0</v>
      </c>
      <c r="AB17" s="81">
        <f t="shared" si="0"/>
        <v>1778.221169735305</v>
      </c>
      <c r="AF17" t="s">
        <v>14</v>
      </c>
      <c r="AG17" s="9">
        <v>0</v>
      </c>
      <c r="AH17">
        <v>0</v>
      </c>
      <c r="AI17">
        <v>0</v>
      </c>
      <c r="AJ17">
        <v>0</v>
      </c>
      <c r="AK17">
        <v>0</v>
      </c>
      <c r="AL17">
        <v>0</v>
      </c>
      <c r="AM17">
        <v>0</v>
      </c>
      <c r="AN17">
        <v>0</v>
      </c>
      <c r="AO17">
        <v>0</v>
      </c>
      <c r="AP17">
        <v>0</v>
      </c>
      <c r="AQ17">
        <v>0</v>
      </c>
      <c r="AR17">
        <v>0</v>
      </c>
      <c r="AS17">
        <v>0</v>
      </c>
      <c r="AT17">
        <v>0</v>
      </c>
      <c r="AU17">
        <v>0</v>
      </c>
      <c r="AV17">
        <v>1</v>
      </c>
      <c r="AW17">
        <v>0</v>
      </c>
      <c r="AX17">
        <v>0</v>
      </c>
      <c r="AY17">
        <v>0</v>
      </c>
      <c r="AZ17">
        <v>0</v>
      </c>
      <c r="BA17">
        <v>0</v>
      </c>
      <c r="BB17" s="10">
        <v>0</v>
      </c>
    </row>
    <row r="18" spans="1:54">
      <c r="A18" s="1" t="s">
        <v>15</v>
      </c>
      <c r="B18" s="132">
        <f>IF(Raw!B$25&gt;0,Raw!B18/Raw!B$25,0)</f>
        <v>0</v>
      </c>
      <c r="C18" s="36">
        <f>IF(Raw!C$25&gt;0,Raw!C18/Raw!C$25,0)</f>
        <v>0</v>
      </c>
      <c r="D18" s="133">
        <f>IF(Raw!D$25&gt;0,Raw!D18/Raw!D$25,0)</f>
        <v>0</v>
      </c>
      <c r="E18" s="36">
        <f>IF(Raw!E$25&gt;0,Raw!E18/Raw!E$25,0)</f>
        <v>2.4065877854682723E-2</v>
      </c>
      <c r="F18" s="36">
        <f>IF(Raw!F$25&gt;0,Raw!F18/Raw!F$25,0)</f>
        <v>8.6727520416491569E-3</v>
      </c>
      <c r="G18" s="36">
        <f>IF(Raw!G$25&gt;0,Raw!G18/Raw!G$25,0)</f>
        <v>0</v>
      </c>
      <c r="H18" s="36">
        <f>IF(Raw!H$25&gt;0,Raw!H18/Raw!H$25,0)</f>
        <v>0</v>
      </c>
      <c r="I18" s="36">
        <f>IF(Raw!I$25&gt;0,Raw!I18/Raw!I$25,0)</f>
        <v>0</v>
      </c>
      <c r="J18" s="36">
        <f>IF(Raw!J$25&gt;0,Raw!J18/Raw!J$25,0)</f>
        <v>0</v>
      </c>
      <c r="K18" s="36">
        <f>IF(Raw!K$25&gt;0,Raw!K18/Raw!K$25,0)</f>
        <v>0</v>
      </c>
      <c r="L18" s="36">
        <f>IF(Raw!L$25&gt;0,Raw!L18/Raw!L$25,0)</f>
        <v>0</v>
      </c>
      <c r="M18" s="36">
        <f>IF(Raw!M$25&gt;0,Raw!M18/Raw!M$25,0)</f>
        <v>0</v>
      </c>
      <c r="N18" s="36">
        <f>IF(Raw!N$25&gt;0,Raw!N18/Raw!N$25,0)</f>
        <v>0</v>
      </c>
      <c r="O18" s="36">
        <f>IF(Raw!O$25&gt;0,Raw!O18/Raw!O$25,0)</f>
        <v>0</v>
      </c>
      <c r="P18" s="36">
        <f>IF(Raw!P$25&gt;0,Raw!P18/Raw!P$25,0)</f>
        <v>0</v>
      </c>
      <c r="Q18" s="36">
        <f>IF(Raw!Q$25&gt;0,Raw!Q18/Raw!Q$25,0)</f>
        <v>0</v>
      </c>
      <c r="R18" s="36">
        <f>IF(Raw!R$25&gt;0,Raw!R18/Raw!R$25,0)</f>
        <v>0</v>
      </c>
      <c r="S18" s="36">
        <f>IF(Raw!S$25&gt;0,Raw!S18/Raw!S$25,0)</f>
        <v>0</v>
      </c>
      <c r="T18" s="36">
        <f>IF(Raw!T$25&gt;0,Raw!T18/Raw!T$25,0)</f>
        <v>0</v>
      </c>
      <c r="U18" s="36">
        <f>IF(Raw!U$25&gt;0,Raw!U18/Raw!U$25,0)</f>
        <v>0</v>
      </c>
      <c r="V18" s="36">
        <f>IF(Raw!V$25&gt;0,Raw!V18/Raw!V$25,0)</f>
        <v>0</v>
      </c>
      <c r="W18" s="133">
        <f>IF(Raw!W$25&gt;0,Raw!W18/Raw!W$25,0)</f>
        <v>0</v>
      </c>
      <c r="X18" s="36">
        <f>Raw!X18</f>
        <v>875.17184779590013</v>
      </c>
      <c r="Y18" s="36">
        <f>Raw!Y18</f>
        <v>0</v>
      </c>
      <c r="Z18" s="36">
        <f>Raw!Z18</f>
        <v>0</v>
      </c>
      <c r="AA18" s="36">
        <f>Raw!AA18</f>
        <v>0</v>
      </c>
      <c r="AB18" s="81">
        <f t="shared" si="0"/>
        <v>875.17184779590013</v>
      </c>
      <c r="AF18" t="s">
        <v>15</v>
      </c>
      <c r="AG18" s="9">
        <v>0</v>
      </c>
      <c r="AH18">
        <v>0</v>
      </c>
      <c r="AI18">
        <v>0</v>
      </c>
      <c r="AJ18">
        <v>0</v>
      </c>
      <c r="AK18">
        <v>0</v>
      </c>
      <c r="AL18">
        <v>0</v>
      </c>
      <c r="AM18">
        <v>0</v>
      </c>
      <c r="AN18">
        <v>0</v>
      </c>
      <c r="AO18">
        <v>0</v>
      </c>
      <c r="AP18">
        <v>0</v>
      </c>
      <c r="AQ18">
        <v>0</v>
      </c>
      <c r="AR18">
        <v>0</v>
      </c>
      <c r="AS18">
        <v>0</v>
      </c>
      <c r="AT18">
        <v>0</v>
      </c>
      <c r="AU18">
        <v>0</v>
      </c>
      <c r="AV18">
        <v>0</v>
      </c>
      <c r="AW18">
        <v>1</v>
      </c>
      <c r="AX18">
        <v>0</v>
      </c>
      <c r="AY18">
        <v>0</v>
      </c>
      <c r="AZ18">
        <v>0</v>
      </c>
      <c r="BA18">
        <v>0</v>
      </c>
      <c r="BB18" s="10">
        <v>0</v>
      </c>
    </row>
    <row r="19" spans="1:54">
      <c r="A19" s="1" t="s">
        <v>16</v>
      </c>
      <c r="B19" s="132">
        <f>IF(Raw!B$25&gt;0,Raw!B19/Raw!B$25,0)</f>
        <v>0</v>
      </c>
      <c r="C19" s="36">
        <f>IF(Raw!C$25&gt;0,Raw!C19/Raw!C$25,0)</f>
        <v>0</v>
      </c>
      <c r="D19" s="133">
        <f>IF(Raw!D$25&gt;0,Raw!D19/Raw!D$25,0)</f>
        <v>0</v>
      </c>
      <c r="E19" s="36">
        <f>IF(Raw!E$25&gt;0,Raw!E19/Raw!E$25,0)</f>
        <v>9.8393931568406673E-3</v>
      </c>
      <c r="F19" s="36">
        <f>IF(Raw!F$25&gt;0,Raw!F19/Raw!F$25,0)</f>
        <v>3.5458759329227742E-3</v>
      </c>
      <c r="G19" s="36">
        <f>IF(Raw!G$25&gt;0,Raw!G19/Raw!G$25,0)</f>
        <v>0</v>
      </c>
      <c r="H19" s="36">
        <f>IF(Raw!H$25&gt;0,Raw!H19/Raw!H$25,0)</f>
        <v>0</v>
      </c>
      <c r="I19" s="36">
        <f>IF(Raw!I$25&gt;0,Raw!I19/Raw!I$25,0)</f>
        <v>0</v>
      </c>
      <c r="J19" s="36">
        <f>IF(Raw!J$25&gt;0,Raw!J19/Raw!J$25,0)</f>
        <v>0</v>
      </c>
      <c r="K19" s="36">
        <f>IF(Raw!K$25&gt;0,Raw!K19/Raw!K$25,0)</f>
        <v>0</v>
      </c>
      <c r="L19" s="36">
        <f>IF(Raw!L$25&gt;0,Raw!L19/Raw!L$25,0)</f>
        <v>0</v>
      </c>
      <c r="M19" s="36">
        <f>IF(Raw!M$25&gt;0,Raw!M19/Raw!M$25,0)</f>
        <v>0</v>
      </c>
      <c r="N19" s="36">
        <f>IF(Raw!N$25&gt;0,Raw!N19/Raw!N$25,0)</f>
        <v>0</v>
      </c>
      <c r="O19" s="36">
        <f>IF(Raw!O$25&gt;0,Raw!O19/Raw!O$25,0)</f>
        <v>0</v>
      </c>
      <c r="P19" s="36">
        <f>IF(Raw!P$25&gt;0,Raw!P19/Raw!P$25,0)</f>
        <v>0</v>
      </c>
      <c r="Q19" s="36">
        <f>IF(Raw!Q$25&gt;0,Raw!Q19/Raw!Q$25,0)</f>
        <v>0</v>
      </c>
      <c r="R19" s="36">
        <f>IF(Raw!R$25&gt;0,Raw!R19/Raw!R$25,0)</f>
        <v>0</v>
      </c>
      <c r="S19" s="36">
        <f>IF(Raw!S$25&gt;0,Raw!S19/Raw!S$25,0)</f>
        <v>0</v>
      </c>
      <c r="T19" s="36">
        <f>IF(Raw!T$25&gt;0,Raw!T19/Raw!T$25,0)</f>
        <v>0</v>
      </c>
      <c r="U19" s="36">
        <f>IF(Raw!U$25&gt;0,Raw!U19/Raw!U$25,0)</f>
        <v>0</v>
      </c>
      <c r="V19" s="36">
        <f>IF(Raw!V$25&gt;0,Raw!V19/Raw!V$25,0)</f>
        <v>0</v>
      </c>
      <c r="W19" s="133">
        <f>IF(Raw!W$25&gt;0,Raw!W19/Raw!W$25,0)</f>
        <v>0</v>
      </c>
      <c r="X19" s="36">
        <f>Raw!X19</f>
        <v>574.8787771475869</v>
      </c>
      <c r="Y19" s="36">
        <f>Raw!Y19</f>
        <v>0</v>
      </c>
      <c r="Z19" s="36">
        <f>Raw!Z19</f>
        <v>0</v>
      </c>
      <c r="AA19" s="36">
        <f>Raw!AA19</f>
        <v>0</v>
      </c>
      <c r="AB19" s="81">
        <f t="shared" si="0"/>
        <v>574.8787771475869</v>
      </c>
      <c r="AF19" t="s">
        <v>16</v>
      </c>
      <c r="AG19" s="9">
        <v>0</v>
      </c>
      <c r="AH19">
        <v>0</v>
      </c>
      <c r="AI19">
        <v>0</v>
      </c>
      <c r="AJ19">
        <v>0</v>
      </c>
      <c r="AK19">
        <v>0</v>
      </c>
      <c r="AL19">
        <v>0</v>
      </c>
      <c r="AM19">
        <v>0</v>
      </c>
      <c r="AN19">
        <v>0</v>
      </c>
      <c r="AO19">
        <v>0</v>
      </c>
      <c r="AP19">
        <v>0</v>
      </c>
      <c r="AQ19">
        <v>0</v>
      </c>
      <c r="AR19">
        <v>0</v>
      </c>
      <c r="AS19">
        <v>0</v>
      </c>
      <c r="AT19">
        <v>0</v>
      </c>
      <c r="AU19">
        <v>0</v>
      </c>
      <c r="AV19">
        <v>0</v>
      </c>
      <c r="AW19">
        <v>0</v>
      </c>
      <c r="AX19">
        <v>1</v>
      </c>
      <c r="AY19">
        <v>0</v>
      </c>
      <c r="AZ19">
        <v>0</v>
      </c>
      <c r="BA19">
        <v>0</v>
      </c>
      <c r="BB19" s="10">
        <v>0</v>
      </c>
    </row>
    <row r="20" spans="1:54">
      <c r="A20" s="1" t="s">
        <v>17</v>
      </c>
      <c r="B20" s="132">
        <f>IF(Raw!B$25&gt;0,Raw!B20/Raw!B$25,0)</f>
        <v>0</v>
      </c>
      <c r="C20" s="36">
        <f>IF(Raw!C$25&gt;0,Raw!C20/Raw!C$25,0)</f>
        <v>0</v>
      </c>
      <c r="D20" s="133">
        <f>IF(Raw!D$25&gt;0,Raw!D20/Raw!D$25,0)</f>
        <v>0</v>
      </c>
      <c r="E20" s="36">
        <f>IF(Raw!E$25&gt;0,Raw!E20/Raw!E$25,0)</f>
        <v>7.76869162502583E-3</v>
      </c>
      <c r="F20" s="36">
        <f>IF(Raw!F$25&gt;0,Raw!F20/Raw!F$25,0)</f>
        <v>2.7996458952680801E-3</v>
      </c>
      <c r="G20" s="36">
        <f>IF(Raw!G$25&gt;0,Raw!G20/Raw!G$25,0)</f>
        <v>0</v>
      </c>
      <c r="H20" s="36">
        <f>IF(Raw!H$25&gt;0,Raw!H20/Raw!H$25,0)</f>
        <v>0</v>
      </c>
      <c r="I20" s="36">
        <f>IF(Raw!I$25&gt;0,Raw!I20/Raw!I$25,0)</f>
        <v>0</v>
      </c>
      <c r="J20" s="36">
        <f>IF(Raw!J$25&gt;0,Raw!J20/Raw!J$25,0)</f>
        <v>0</v>
      </c>
      <c r="K20" s="36">
        <f>IF(Raw!K$25&gt;0,Raw!K20/Raw!K$25,0)</f>
        <v>0</v>
      </c>
      <c r="L20" s="36">
        <f>IF(Raw!L$25&gt;0,Raw!L20/Raw!L$25,0)</f>
        <v>0</v>
      </c>
      <c r="M20" s="36">
        <f>IF(Raw!M$25&gt;0,Raw!M20/Raw!M$25,0)</f>
        <v>0</v>
      </c>
      <c r="N20" s="36">
        <f>IF(Raw!N$25&gt;0,Raw!N20/Raw!N$25,0)</f>
        <v>0</v>
      </c>
      <c r="O20" s="36">
        <f>IF(Raw!O$25&gt;0,Raw!O20/Raw!O$25,0)</f>
        <v>0</v>
      </c>
      <c r="P20" s="36">
        <f>IF(Raw!P$25&gt;0,Raw!P20/Raw!P$25,0)</f>
        <v>0</v>
      </c>
      <c r="Q20" s="36">
        <f>IF(Raw!Q$25&gt;0,Raw!Q20/Raw!Q$25,0)</f>
        <v>0</v>
      </c>
      <c r="R20" s="36">
        <f>IF(Raw!R$25&gt;0,Raw!R20/Raw!R$25,0)</f>
        <v>0</v>
      </c>
      <c r="S20" s="36">
        <f>IF(Raw!S$25&gt;0,Raw!S20/Raw!S$25,0)</f>
        <v>0</v>
      </c>
      <c r="T20" s="36">
        <f>IF(Raw!T$25&gt;0,Raw!T20/Raw!T$25,0)</f>
        <v>0</v>
      </c>
      <c r="U20" s="36">
        <f>IF(Raw!U$25&gt;0,Raw!U20/Raw!U$25,0)</f>
        <v>0</v>
      </c>
      <c r="V20" s="36">
        <f>IF(Raw!V$25&gt;0,Raw!V20/Raw!V$25,0)</f>
        <v>0</v>
      </c>
      <c r="W20" s="133">
        <f>IF(Raw!W$25&gt;0,Raw!W20/Raw!W$25,0)</f>
        <v>0</v>
      </c>
      <c r="X20" s="36">
        <f>Raw!X20</f>
        <v>726.27698254714335</v>
      </c>
      <c r="Y20" s="36">
        <f>Raw!Y20</f>
        <v>0</v>
      </c>
      <c r="Z20" s="36">
        <f>Raw!Z20</f>
        <v>0</v>
      </c>
      <c r="AA20" s="36">
        <f>Raw!AA20</f>
        <v>0</v>
      </c>
      <c r="AB20" s="81">
        <f t="shared" si="0"/>
        <v>726.27698254714335</v>
      </c>
      <c r="AF20" t="s">
        <v>17</v>
      </c>
      <c r="AG20" s="9">
        <v>0</v>
      </c>
      <c r="AH20">
        <v>0</v>
      </c>
      <c r="AI20">
        <v>0</v>
      </c>
      <c r="AJ20">
        <v>0</v>
      </c>
      <c r="AK20">
        <v>0</v>
      </c>
      <c r="AL20">
        <v>0</v>
      </c>
      <c r="AM20">
        <v>0</v>
      </c>
      <c r="AN20">
        <v>0</v>
      </c>
      <c r="AO20">
        <v>0</v>
      </c>
      <c r="AP20">
        <v>0</v>
      </c>
      <c r="AQ20">
        <v>0</v>
      </c>
      <c r="AR20">
        <v>0</v>
      </c>
      <c r="AS20">
        <v>0</v>
      </c>
      <c r="AT20">
        <v>0</v>
      </c>
      <c r="AU20">
        <v>0</v>
      </c>
      <c r="AV20">
        <v>0</v>
      </c>
      <c r="AW20">
        <v>0</v>
      </c>
      <c r="AX20">
        <v>0</v>
      </c>
      <c r="AY20">
        <v>1</v>
      </c>
      <c r="AZ20">
        <v>0</v>
      </c>
      <c r="BA20">
        <v>0</v>
      </c>
      <c r="BB20" s="10">
        <v>0</v>
      </c>
    </row>
    <row r="21" spans="1:54">
      <c r="A21" s="1" t="s">
        <v>18</v>
      </c>
      <c r="B21" s="132">
        <f>IF(Raw!B$25&gt;0,Raw!B21/Raw!B$25,0)</f>
        <v>0</v>
      </c>
      <c r="C21" s="36">
        <f>IF(Raw!C$25&gt;0,Raw!C21/Raw!C$25,0)</f>
        <v>0</v>
      </c>
      <c r="D21" s="133">
        <f>IF(Raw!D$25&gt;0,Raw!D21/Raw!D$25,0)</f>
        <v>0</v>
      </c>
      <c r="E21" s="36">
        <f>IF(Raw!E$25&gt;0,Raw!E21/Raw!E$25,0)</f>
        <v>8.3522233478086037E-3</v>
      </c>
      <c r="F21" s="36">
        <f>IF(Raw!F$25&gt;0,Raw!F21/Raw!F$25,0)</f>
        <v>3.0099364140968631E-3</v>
      </c>
      <c r="G21" s="36">
        <f>IF(Raw!G$25&gt;0,Raw!G21/Raw!G$25,0)</f>
        <v>0</v>
      </c>
      <c r="H21" s="36">
        <f>IF(Raw!H$25&gt;0,Raw!H21/Raw!H$25,0)</f>
        <v>0</v>
      </c>
      <c r="I21" s="36">
        <f>IF(Raw!I$25&gt;0,Raw!I21/Raw!I$25,0)</f>
        <v>0</v>
      </c>
      <c r="J21" s="36">
        <f>IF(Raw!J$25&gt;0,Raw!J21/Raw!J$25,0)</f>
        <v>0</v>
      </c>
      <c r="K21" s="36">
        <f>IF(Raw!K$25&gt;0,Raw!K21/Raw!K$25,0)</f>
        <v>0</v>
      </c>
      <c r="L21" s="36">
        <f>IF(Raw!L$25&gt;0,Raw!L21/Raw!L$25,0)</f>
        <v>0</v>
      </c>
      <c r="M21" s="36">
        <f>IF(Raw!M$25&gt;0,Raw!M21/Raw!M$25,0)</f>
        <v>0</v>
      </c>
      <c r="N21" s="36">
        <f>IF(Raw!N$25&gt;0,Raw!N21/Raw!N$25,0)</f>
        <v>0</v>
      </c>
      <c r="O21" s="36">
        <f>IF(Raw!O$25&gt;0,Raw!O21/Raw!O$25,0)</f>
        <v>0</v>
      </c>
      <c r="P21" s="36">
        <f>IF(Raw!P$25&gt;0,Raw!P21/Raw!P$25,0)</f>
        <v>0</v>
      </c>
      <c r="Q21" s="36">
        <f>IF(Raw!Q$25&gt;0,Raw!Q21/Raw!Q$25,0)</f>
        <v>0</v>
      </c>
      <c r="R21" s="36">
        <f>IF(Raw!R$25&gt;0,Raw!R21/Raw!R$25,0)</f>
        <v>0</v>
      </c>
      <c r="S21" s="36">
        <f>IF(Raw!S$25&gt;0,Raw!S21/Raw!S$25,0)</f>
        <v>0</v>
      </c>
      <c r="T21" s="36">
        <f>IF(Raw!T$25&gt;0,Raw!T21/Raw!T$25,0)</f>
        <v>0</v>
      </c>
      <c r="U21" s="36">
        <f>IF(Raw!U$25&gt;0,Raw!U21/Raw!U$25,0)</f>
        <v>0</v>
      </c>
      <c r="V21" s="36">
        <f>IF(Raw!V$25&gt;0,Raw!V21/Raw!V$25,0)</f>
        <v>0</v>
      </c>
      <c r="W21" s="133">
        <f>IF(Raw!W$25&gt;0,Raw!W21/Raw!W$25,0)</f>
        <v>0</v>
      </c>
      <c r="X21" s="36">
        <f>Raw!X21</f>
        <v>611.73678336143792</v>
      </c>
      <c r="Y21" s="36">
        <f>Raw!Y21</f>
        <v>0</v>
      </c>
      <c r="Z21" s="36">
        <f>Raw!Z21</f>
        <v>0</v>
      </c>
      <c r="AA21" s="36">
        <f>Raw!AA21</f>
        <v>0</v>
      </c>
      <c r="AB21" s="81">
        <f t="shared" si="0"/>
        <v>611.73678336143792</v>
      </c>
      <c r="AF21" t="s">
        <v>18</v>
      </c>
      <c r="AG21" s="9">
        <v>0</v>
      </c>
      <c r="AH21">
        <v>0</v>
      </c>
      <c r="AI21">
        <v>0</v>
      </c>
      <c r="AJ21">
        <v>0</v>
      </c>
      <c r="AK21">
        <v>0</v>
      </c>
      <c r="AL21">
        <v>0</v>
      </c>
      <c r="AM21">
        <v>0</v>
      </c>
      <c r="AN21">
        <v>0</v>
      </c>
      <c r="AO21">
        <v>0</v>
      </c>
      <c r="AP21">
        <v>0</v>
      </c>
      <c r="AQ21">
        <v>0</v>
      </c>
      <c r="AR21">
        <v>0</v>
      </c>
      <c r="AS21">
        <v>0</v>
      </c>
      <c r="AT21">
        <v>0</v>
      </c>
      <c r="AU21">
        <v>0</v>
      </c>
      <c r="AV21">
        <v>0</v>
      </c>
      <c r="AW21">
        <v>0</v>
      </c>
      <c r="AX21">
        <v>0</v>
      </c>
      <c r="AY21">
        <v>0</v>
      </c>
      <c r="AZ21">
        <v>1</v>
      </c>
      <c r="BA21">
        <v>0</v>
      </c>
      <c r="BB21" s="10">
        <v>0</v>
      </c>
    </row>
    <row r="22" spans="1:54">
      <c r="A22" s="1" t="s">
        <v>19</v>
      </c>
      <c r="B22" s="132">
        <f>IF(Raw!B$25&gt;0,Raw!B22/Raw!B$25,0)</f>
        <v>0</v>
      </c>
      <c r="C22" s="36">
        <f>IF(Raw!C$25&gt;0,Raw!C22/Raw!C$25,0)</f>
        <v>0</v>
      </c>
      <c r="D22" s="133">
        <f>IF(Raw!D$25&gt;0,Raw!D22/Raw!D$25,0)</f>
        <v>0</v>
      </c>
      <c r="E22" s="36">
        <f>IF(Raw!E$25&gt;0,Raw!E22/Raw!E$25,0)</f>
        <v>4.2081428082003623E-2</v>
      </c>
      <c r="F22" s="36">
        <f>IF(Raw!F$25&gt;0,Raw!F22/Raw!F$25,0)</f>
        <v>1.5165114421234173E-2</v>
      </c>
      <c r="G22" s="36">
        <f>IF(Raw!G$25&gt;0,Raw!G22/Raw!G$25,0)</f>
        <v>0</v>
      </c>
      <c r="H22" s="36">
        <f>IF(Raw!H$25&gt;0,Raw!H22/Raw!H$25,0)</f>
        <v>0</v>
      </c>
      <c r="I22" s="36">
        <f>IF(Raw!I$25&gt;0,Raw!I22/Raw!I$25,0)</f>
        <v>0</v>
      </c>
      <c r="J22" s="36">
        <f>IF(Raw!J$25&gt;0,Raw!J22/Raw!J$25,0)</f>
        <v>0</v>
      </c>
      <c r="K22" s="36">
        <f>IF(Raw!K$25&gt;0,Raw!K22/Raw!K$25,0)</f>
        <v>0</v>
      </c>
      <c r="L22" s="36">
        <f>IF(Raw!L$25&gt;0,Raw!L22/Raw!L$25,0)</f>
        <v>0</v>
      </c>
      <c r="M22" s="36">
        <f>IF(Raw!M$25&gt;0,Raw!M22/Raw!M$25,0)</f>
        <v>0</v>
      </c>
      <c r="N22" s="36">
        <f>IF(Raw!N$25&gt;0,Raw!N22/Raw!N$25,0)</f>
        <v>0</v>
      </c>
      <c r="O22" s="36">
        <f>IF(Raw!O$25&gt;0,Raw!O22/Raw!O$25,0)</f>
        <v>0</v>
      </c>
      <c r="P22" s="36">
        <f>IF(Raw!P$25&gt;0,Raw!P22/Raw!P$25,0)</f>
        <v>0</v>
      </c>
      <c r="Q22" s="36">
        <f>IF(Raw!Q$25&gt;0,Raw!Q22/Raw!Q$25,0)</f>
        <v>0</v>
      </c>
      <c r="R22" s="36">
        <f>IF(Raw!R$25&gt;0,Raw!R22/Raw!R$25,0)</f>
        <v>0</v>
      </c>
      <c r="S22" s="36">
        <f>IF(Raw!S$25&gt;0,Raw!S22/Raw!S$25,0)</f>
        <v>0</v>
      </c>
      <c r="T22" s="36">
        <f>IF(Raw!T$25&gt;0,Raw!T22/Raw!T$25,0)</f>
        <v>0</v>
      </c>
      <c r="U22" s="36">
        <f>IF(Raw!U$25&gt;0,Raw!U22/Raw!U$25,0)</f>
        <v>0</v>
      </c>
      <c r="V22" s="36">
        <f>IF(Raw!V$25&gt;0,Raw!V22/Raw!V$25,0)</f>
        <v>0</v>
      </c>
      <c r="W22" s="133">
        <f>IF(Raw!W$25&gt;0,Raw!W22/Raw!W$25,0)</f>
        <v>0</v>
      </c>
      <c r="X22" s="36">
        <f>Raw!X22</f>
        <v>1699.8360835751289</v>
      </c>
      <c r="Y22" s="36">
        <f>Raw!Y22</f>
        <v>0</v>
      </c>
      <c r="Z22" s="36">
        <f>Raw!Z22</f>
        <v>0</v>
      </c>
      <c r="AA22" s="36">
        <f>Raw!AA22</f>
        <v>0</v>
      </c>
      <c r="AB22" s="81">
        <f t="shared" si="0"/>
        <v>1699.8360835751289</v>
      </c>
      <c r="AF22" t="s">
        <v>19</v>
      </c>
      <c r="AG22" s="9">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1</v>
      </c>
      <c r="BB22" s="10">
        <v>0</v>
      </c>
    </row>
    <row r="23" spans="1:54" ht="16.2" thickBot="1">
      <c r="A23" s="1" t="s">
        <v>20</v>
      </c>
      <c r="B23" s="134">
        <f>IF(Raw!B$25&gt;0,Raw!B23/Raw!B$25,0)</f>
        <v>0</v>
      </c>
      <c r="C23" s="42">
        <f>IF(Raw!C$25&gt;0,Raw!C23/Raw!C$25,0)</f>
        <v>0</v>
      </c>
      <c r="D23" s="135">
        <f>IF(Raw!D$25&gt;0,Raw!D23/Raw!D$25,0)</f>
        <v>0</v>
      </c>
      <c r="E23" s="42">
        <f>IF(Raw!E$25&gt;0,Raw!E23/Raw!E$25,0)</f>
        <v>1.0398164230441965E-3</v>
      </c>
      <c r="F23" s="42">
        <f>IF(Raw!F$25&gt;0,Raw!F23/Raw!F$25,0)</f>
        <v>3.7472433211665075E-4</v>
      </c>
      <c r="G23" s="42">
        <f>IF(Raw!G$25&gt;0,Raw!G23/Raw!G$25,0)</f>
        <v>0</v>
      </c>
      <c r="H23" s="42">
        <f>IF(Raw!H$25&gt;0,Raw!H23/Raw!H$25,0)</f>
        <v>0</v>
      </c>
      <c r="I23" s="42">
        <f>IF(Raw!I$25&gt;0,Raw!I23/Raw!I$25,0)</f>
        <v>0</v>
      </c>
      <c r="J23" s="42">
        <f>IF(Raw!J$25&gt;0,Raw!J23/Raw!J$25,0)</f>
        <v>0</v>
      </c>
      <c r="K23" s="42">
        <f>IF(Raw!K$25&gt;0,Raw!K23/Raw!K$25,0)</f>
        <v>0</v>
      </c>
      <c r="L23" s="42">
        <f>IF(Raw!L$25&gt;0,Raw!L23/Raw!L$25,0)</f>
        <v>0</v>
      </c>
      <c r="M23" s="42">
        <f>IF(Raw!M$25&gt;0,Raw!M23/Raw!M$25,0)</f>
        <v>0</v>
      </c>
      <c r="N23" s="42">
        <f>IF(Raw!N$25&gt;0,Raw!N23/Raw!N$25,0)</f>
        <v>0</v>
      </c>
      <c r="O23" s="42">
        <f>IF(Raw!O$25&gt;0,Raw!O23/Raw!O$25,0)</f>
        <v>0</v>
      </c>
      <c r="P23" s="42">
        <f>IF(Raw!P$25&gt;0,Raw!P23/Raw!P$25,0)</f>
        <v>0</v>
      </c>
      <c r="Q23" s="42">
        <f>IF(Raw!Q$25&gt;0,Raw!Q23/Raw!Q$25,0)</f>
        <v>0</v>
      </c>
      <c r="R23" s="42">
        <f>IF(Raw!R$25&gt;0,Raw!R23/Raw!R$25,0)</f>
        <v>0</v>
      </c>
      <c r="S23" s="42">
        <f>IF(Raw!S$25&gt;0,Raw!S23/Raw!S$25,0)</f>
        <v>0</v>
      </c>
      <c r="T23" s="42">
        <f>IF(Raw!T$25&gt;0,Raw!T23/Raw!T$25,0)</f>
        <v>0</v>
      </c>
      <c r="U23" s="42">
        <f>IF(Raw!U$25&gt;0,Raw!U23/Raw!U$25,0)</f>
        <v>0</v>
      </c>
      <c r="V23" s="42">
        <f>IF(Raw!V$25&gt;0,Raw!V23/Raw!V$25,0)</f>
        <v>0</v>
      </c>
      <c r="W23" s="135">
        <f>IF(Raw!W$25&gt;0,Raw!W23/Raw!W$25,0)</f>
        <v>0</v>
      </c>
      <c r="X23" s="42">
        <f>Raw!X23</f>
        <v>271.29686756313095</v>
      </c>
      <c r="Y23" s="42">
        <f>Raw!Y23</f>
        <v>0</v>
      </c>
      <c r="Z23" s="42">
        <f>Raw!Z23</f>
        <v>0</v>
      </c>
      <c r="AA23" s="42">
        <f>Raw!AA23</f>
        <v>0</v>
      </c>
      <c r="AB23" s="82">
        <f t="shared" si="0"/>
        <v>271.29686756313095</v>
      </c>
      <c r="AF23" t="s">
        <v>20</v>
      </c>
      <c r="AG23" s="11">
        <v>0</v>
      </c>
      <c r="AH23" s="12">
        <v>0</v>
      </c>
      <c r="AI23" s="12">
        <v>0</v>
      </c>
      <c r="AJ23" s="12">
        <v>0</v>
      </c>
      <c r="AK23" s="12">
        <v>0</v>
      </c>
      <c r="AL23" s="12">
        <v>0</v>
      </c>
      <c r="AM23" s="12">
        <v>0</v>
      </c>
      <c r="AN23" s="12">
        <v>0</v>
      </c>
      <c r="AO23" s="12">
        <v>0</v>
      </c>
      <c r="AP23" s="12">
        <v>0</v>
      </c>
      <c r="AQ23" s="12">
        <v>0</v>
      </c>
      <c r="AR23" s="12">
        <v>0</v>
      </c>
      <c r="AS23" s="12">
        <v>0</v>
      </c>
      <c r="AT23" s="12">
        <v>0</v>
      </c>
      <c r="AU23" s="12">
        <v>0</v>
      </c>
      <c r="AV23" s="12">
        <v>0</v>
      </c>
      <c r="AW23" s="12">
        <v>0</v>
      </c>
      <c r="AX23" s="12">
        <v>0</v>
      </c>
      <c r="AY23" s="12">
        <v>0</v>
      </c>
      <c r="AZ23" s="12">
        <v>0</v>
      </c>
      <c r="BA23" s="12">
        <v>0</v>
      </c>
      <c r="BB23" s="13">
        <v>1</v>
      </c>
    </row>
    <row r="24" spans="1:54" ht="16.2" thickBot="1">
      <c r="B24" s="36">
        <f>SUM(B2:B23)</f>
        <v>0</v>
      </c>
      <c r="C24" s="36">
        <f t="shared" ref="C24:O24" si="1">SUM(C2:C23)</f>
        <v>0</v>
      </c>
      <c r="D24" s="36">
        <f t="shared" si="1"/>
        <v>0.37600004131868592</v>
      </c>
      <c r="E24" s="36">
        <f t="shared" si="1"/>
        <v>0.79660508642129102</v>
      </c>
      <c r="F24" s="36">
        <f t="shared" si="1"/>
        <v>0.96267639555839468</v>
      </c>
      <c r="G24" s="36">
        <f t="shared" si="1"/>
        <v>0.97746305113586573</v>
      </c>
      <c r="H24" s="36">
        <f t="shared" si="1"/>
        <v>0.97649897567825672</v>
      </c>
      <c r="I24" s="36">
        <f t="shared" si="1"/>
        <v>0.85</v>
      </c>
      <c r="J24" s="36">
        <f t="shared" si="1"/>
        <v>0.8</v>
      </c>
      <c r="K24" s="36">
        <f t="shared" si="1"/>
        <v>0.8</v>
      </c>
      <c r="L24" s="36">
        <f t="shared" si="1"/>
        <v>0.8</v>
      </c>
      <c r="M24" s="36">
        <f t="shared" si="1"/>
        <v>0.94999999999999984</v>
      </c>
      <c r="N24" s="36">
        <f t="shared" si="1"/>
        <v>0.95</v>
      </c>
      <c r="O24" s="36">
        <f t="shared" si="1"/>
        <v>0.95000000000000007</v>
      </c>
      <c r="P24" s="36">
        <f>SUM(P9:P23)</f>
        <v>0.86505798549672053</v>
      </c>
      <c r="Q24" s="36">
        <f t="shared" ref="Q24:W24" si="2">SUM(Q9:Q23)</f>
        <v>0.86505798549672031</v>
      </c>
      <c r="R24" s="36">
        <f t="shared" si="2"/>
        <v>0.86505798549672053</v>
      </c>
      <c r="S24" s="36">
        <f t="shared" si="2"/>
        <v>0.86505798549672064</v>
      </c>
      <c r="T24" s="36">
        <f t="shared" si="2"/>
        <v>0.86505798549672031</v>
      </c>
      <c r="U24" s="36">
        <f t="shared" si="2"/>
        <v>0.86505798549672053</v>
      </c>
      <c r="V24" s="36">
        <f t="shared" si="2"/>
        <v>0.86505798549672031</v>
      </c>
      <c r="W24" s="36">
        <f t="shared" si="2"/>
        <v>0.86505798549672053</v>
      </c>
      <c r="X24" s="158">
        <f>SUM(X2:X23)</f>
        <v>7710.6565341765227</v>
      </c>
      <c r="Y24" s="159">
        <f>SUM(Y2:Y23)</f>
        <v>853.07999999999993</v>
      </c>
      <c r="Z24" s="159">
        <f>SUM(Z2:Z23)</f>
        <v>2402.5051070460763</v>
      </c>
      <c r="AA24" s="159">
        <f>SUM(AA2:AA23)</f>
        <v>596.95190884575027</v>
      </c>
      <c r="AB24" s="82">
        <f>SUM(AB2:AB23)</f>
        <v>11563.193550068348</v>
      </c>
    </row>
    <row r="28" spans="1:54" ht="16.2" thickBot="1">
      <c r="AC28" t="s">
        <v>83</v>
      </c>
    </row>
    <row r="29" spans="1:54" ht="16.2" thickBot="1">
      <c r="A29" s="172" t="s">
        <v>24</v>
      </c>
      <c r="B29" s="5" t="s">
        <v>0</v>
      </c>
      <c r="C29" s="5" t="s">
        <v>1</v>
      </c>
      <c r="D29" s="5" t="s">
        <v>2</v>
      </c>
      <c r="E29" s="5" t="s">
        <v>3</v>
      </c>
      <c r="F29" s="5" t="s">
        <v>4</v>
      </c>
      <c r="G29" s="5" t="s">
        <v>5</v>
      </c>
      <c r="H29" s="5" t="s">
        <v>6</v>
      </c>
      <c r="I29" s="5" t="s">
        <v>7</v>
      </c>
      <c r="J29" s="5" t="s">
        <v>8</v>
      </c>
      <c r="K29" s="5" t="s">
        <v>9</v>
      </c>
      <c r="L29" s="5" t="s">
        <v>78</v>
      </c>
      <c r="M29" s="5" t="s">
        <v>10</v>
      </c>
      <c r="N29" s="5" t="s">
        <v>11</v>
      </c>
      <c r="O29" s="5" t="s">
        <v>12</v>
      </c>
      <c r="P29" s="5" t="s">
        <v>13</v>
      </c>
      <c r="Q29" s="5" t="s">
        <v>14</v>
      </c>
      <c r="R29" s="5" t="s">
        <v>15</v>
      </c>
      <c r="S29" s="5" t="s">
        <v>16</v>
      </c>
      <c r="T29" s="5" t="s">
        <v>17</v>
      </c>
      <c r="U29" s="5" t="s">
        <v>18</v>
      </c>
      <c r="V29" s="5" t="s">
        <v>19</v>
      </c>
      <c r="W29" s="26" t="s">
        <v>20</v>
      </c>
      <c r="X29" s="6" t="s">
        <v>21</v>
      </c>
      <c r="Y29" s="7" t="s">
        <v>75</v>
      </c>
      <c r="Z29" s="7" t="s">
        <v>89</v>
      </c>
      <c r="AA29" s="7" t="s">
        <v>50</v>
      </c>
      <c r="AB29" s="25" t="s">
        <v>26</v>
      </c>
      <c r="AC29" t="s">
        <v>62</v>
      </c>
      <c r="AD29" t="s">
        <v>22</v>
      </c>
      <c r="AG29" t="s">
        <v>0</v>
      </c>
      <c r="AH29" t="s">
        <v>1</v>
      </c>
      <c r="AI29" t="s">
        <v>2</v>
      </c>
      <c r="AJ29" t="s">
        <v>3</v>
      </c>
      <c r="AK29" t="s">
        <v>4</v>
      </c>
      <c r="AL29" t="s">
        <v>5</v>
      </c>
      <c r="AM29" t="s">
        <v>6</v>
      </c>
      <c r="AN29" t="s">
        <v>7</v>
      </c>
      <c r="AO29" t="s">
        <v>8</v>
      </c>
      <c r="AP29" t="s">
        <v>9</v>
      </c>
      <c r="AQ29" t="s">
        <v>78</v>
      </c>
      <c r="AR29" t="s">
        <v>10</v>
      </c>
      <c r="AS29" t="s">
        <v>11</v>
      </c>
      <c r="AT29" t="s">
        <v>12</v>
      </c>
      <c r="AU29" t="s">
        <v>13</v>
      </c>
      <c r="AV29" t="s">
        <v>14</v>
      </c>
      <c r="AW29" t="s">
        <v>15</v>
      </c>
      <c r="AX29" t="s">
        <v>16</v>
      </c>
      <c r="AY29" t="s">
        <v>17</v>
      </c>
      <c r="AZ29" t="s">
        <v>18</v>
      </c>
      <c r="BA29" t="s">
        <v>19</v>
      </c>
      <c r="BB29" t="s">
        <v>20</v>
      </c>
    </row>
    <row r="30" spans="1:54">
      <c r="A30" s="4" t="s">
        <v>0</v>
      </c>
      <c r="B30" s="140">
        <f t="shared" ref="B30:W30" si="3">B$52*B2</f>
        <v>0</v>
      </c>
      <c r="C30" s="141">
        <f t="shared" si="3"/>
        <v>0</v>
      </c>
      <c r="D30" s="141">
        <f t="shared" si="3"/>
        <v>385.41176470588238</v>
      </c>
      <c r="E30" s="141">
        <f t="shared" si="3"/>
        <v>0</v>
      </c>
      <c r="F30" s="141">
        <f t="shared" si="3"/>
        <v>0</v>
      </c>
      <c r="G30" s="141">
        <f t="shared" si="3"/>
        <v>0</v>
      </c>
      <c r="H30" s="141">
        <f t="shared" si="3"/>
        <v>0</v>
      </c>
      <c r="I30" s="141">
        <f t="shared" si="3"/>
        <v>0</v>
      </c>
      <c r="J30" s="141">
        <f t="shared" si="3"/>
        <v>0</v>
      </c>
      <c r="K30" s="141">
        <f t="shared" si="3"/>
        <v>0</v>
      </c>
      <c r="L30" s="141">
        <f t="shared" si="3"/>
        <v>0</v>
      </c>
      <c r="M30" s="141">
        <f t="shared" si="3"/>
        <v>0</v>
      </c>
      <c r="N30" s="141">
        <f t="shared" si="3"/>
        <v>0</v>
      </c>
      <c r="O30" s="141">
        <f t="shared" si="3"/>
        <v>0</v>
      </c>
      <c r="P30" s="141">
        <f t="shared" si="3"/>
        <v>0</v>
      </c>
      <c r="Q30" s="141">
        <f t="shared" si="3"/>
        <v>0</v>
      </c>
      <c r="R30" s="141">
        <f t="shared" si="3"/>
        <v>0</v>
      </c>
      <c r="S30" s="141">
        <f t="shared" si="3"/>
        <v>0</v>
      </c>
      <c r="T30" s="141">
        <f t="shared" si="3"/>
        <v>0</v>
      </c>
      <c r="U30" s="141">
        <f t="shared" si="3"/>
        <v>0</v>
      </c>
      <c r="V30" s="141">
        <f t="shared" si="3"/>
        <v>0</v>
      </c>
      <c r="W30" s="142">
        <f t="shared" si="3"/>
        <v>0</v>
      </c>
      <c r="X30" s="143">
        <f>X2*$X$55</f>
        <v>0</v>
      </c>
      <c r="Y30" s="144">
        <f>Y2*$X$55</f>
        <v>0</v>
      </c>
      <c r="Z30" s="144">
        <f>Z2*$X$55</f>
        <v>302.8235294117647</v>
      </c>
      <c r="AA30" s="145">
        <f>AA2*$X$55</f>
        <v>37.814705882353017</v>
      </c>
      <c r="AB30" s="137">
        <f>SUM(X30:AA30)</f>
        <v>340.63823529411769</v>
      </c>
      <c r="AC30" s="137" cm="1">
        <f t="array" ref="AC30:AC51">MMULT(AG30:BB51,AB30:AB51)</f>
        <v>726.05000000000007</v>
      </c>
      <c r="AD30" s="45">
        <f>SUM(B30:AA30)</f>
        <v>726.05000000000007</v>
      </c>
      <c r="AF30" t="s">
        <v>0</v>
      </c>
      <c r="AG30" s="14" cm="1">
        <f t="array" ref="AG30:BB51">MINVERSE(AG2:BB23-B2:W23)</f>
        <v>1</v>
      </c>
      <c r="AH30" s="15">
        <v>0</v>
      </c>
      <c r="AI30" s="15">
        <v>0.37600004131868592</v>
      </c>
      <c r="AJ30" s="15">
        <v>2.2869936233550849E-2</v>
      </c>
      <c r="AK30" s="15">
        <v>1.3230497659407607E-2</v>
      </c>
      <c r="AL30" s="15">
        <v>5.6728357001195127E-2</v>
      </c>
      <c r="AM30" s="15">
        <v>4.9742281057892627E-2</v>
      </c>
      <c r="AN30" s="15">
        <v>4.821910345101587E-2</v>
      </c>
      <c r="AO30" s="15">
        <v>4.5382685600956103E-2</v>
      </c>
      <c r="AP30" s="15">
        <v>4.5382685600956103E-2</v>
      </c>
      <c r="AQ30" s="15">
        <v>4.5382685600956131E-2</v>
      </c>
      <c r="AR30" s="15">
        <v>4.7255167004997989E-2</v>
      </c>
      <c r="AS30" s="15">
        <v>4.725516700499801E-2</v>
      </c>
      <c r="AT30" s="15">
        <v>4.7255167004997989E-2</v>
      </c>
      <c r="AU30" s="15">
        <v>4.0229925449611306E-2</v>
      </c>
      <c r="AV30" s="15">
        <v>4.0987355702957667E-2</v>
      </c>
      <c r="AW30" s="15">
        <v>4.063154486342848E-2</v>
      </c>
      <c r="AX30" s="15">
        <v>4.0773776703005644E-2</v>
      </c>
      <c r="AY30" s="15">
        <v>3.9867720510657539E-2</v>
      </c>
      <c r="AZ30" s="15">
        <v>4.0683839985327055E-2</v>
      </c>
      <c r="BA30" s="15">
        <v>4.1711826500254096E-2</v>
      </c>
      <c r="BB30" s="16">
        <v>4.050465812021508E-2</v>
      </c>
    </row>
    <row r="31" spans="1:54">
      <c r="A31" s="4" t="s">
        <v>1</v>
      </c>
      <c r="B31" s="146">
        <f t="shared" ref="B31:W31" si="4">B$52*B3</f>
        <v>0</v>
      </c>
      <c r="C31" s="147">
        <f t="shared" si="4"/>
        <v>0</v>
      </c>
      <c r="D31" s="147">
        <f t="shared" si="4"/>
        <v>0</v>
      </c>
      <c r="E31" s="147">
        <f t="shared" si="4"/>
        <v>2220.9309612506372</v>
      </c>
      <c r="F31" s="147">
        <f t="shared" si="4"/>
        <v>1638.0024244678448</v>
      </c>
      <c r="G31" s="147">
        <f t="shared" si="4"/>
        <v>0</v>
      </c>
      <c r="H31" s="147">
        <f t="shared" si="4"/>
        <v>0</v>
      </c>
      <c r="I31" s="147">
        <f t="shared" si="4"/>
        <v>0</v>
      </c>
      <c r="J31" s="147">
        <f t="shared" si="4"/>
        <v>0</v>
      </c>
      <c r="K31" s="147">
        <f t="shared" si="4"/>
        <v>0</v>
      </c>
      <c r="L31" s="147">
        <f t="shared" si="4"/>
        <v>0</v>
      </c>
      <c r="M31" s="147">
        <f t="shared" si="4"/>
        <v>0</v>
      </c>
      <c r="N31" s="147">
        <f t="shared" si="4"/>
        <v>0</v>
      </c>
      <c r="O31" s="147">
        <f t="shared" si="4"/>
        <v>0</v>
      </c>
      <c r="P31" s="147">
        <f t="shared" si="4"/>
        <v>0</v>
      </c>
      <c r="Q31" s="147">
        <f t="shared" si="4"/>
        <v>0</v>
      </c>
      <c r="R31" s="147">
        <f t="shared" si="4"/>
        <v>0</v>
      </c>
      <c r="S31" s="147">
        <f t="shared" si="4"/>
        <v>0</v>
      </c>
      <c r="T31" s="147">
        <f t="shared" si="4"/>
        <v>0</v>
      </c>
      <c r="U31" s="147">
        <f t="shared" si="4"/>
        <v>0</v>
      </c>
      <c r="V31" s="147">
        <f t="shared" si="4"/>
        <v>0</v>
      </c>
      <c r="W31" s="148">
        <f t="shared" si="4"/>
        <v>0</v>
      </c>
      <c r="X31" s="149">
        <f t="shared" ref="X31:AA51" si="5">X3*$X$55</f>
        <v>0</v>
      </c>
      <c r="Y31" s="45">
        <f t="shared" si="5"/>
        <v>0</v>
      </c>
      <c r="Z31" s="45">
        <f t="shared" si="5"/>
        <v>1894.6815776343117</v>
      </c>
      <c r="AA31" s="150">
        <f t="shared" si="5"/>
        <v>0</v>
      </c>
      <c r="AB31" s="138">
        <f t="shared" ref="AB31:AB51" si="6">SUM(X31:AA31)</f>
        <v>1894.6815776343117</v>
      </c>
      <c r="AC31" s="138">
        <v>5753.6149633527948</v>
      </c>
      <c r="AD31" s="45">
        <f t="shared" ref="AD31:AD51" si="7">SUM(B31:AA31)</f>
        <v>5753.6149633527939</v>
      </c>
      <c r="AF31" t="s">
        <v>1</v>
      </c>
      <c r="AG31" s="17">
        <v>0</v>
      </c>
      <c r="AH31" s="18">
        <v>1</v>
      </c>
      <c r="AI31" s="18">
        <v>0</v>
      </c>
      <c r="AJ31" s="18">
        <v>0.49739635074144672</v>
      </c>
      <c r="AK31" s="18">
        <v>0.84158099966150146</v>
      </c>
      <c r="AL31" s="18">
        <v>0.43776977562513264</v>
      </c>
      <c r="AM31" s="18">
        <v>0.73637878933297951</v>
      </c>
      <c r="AN31" s="18">
        <v>0.37210430928136279</v>
      </c>
      <c r="AO31" s="18">
        <v>0.35021582050010608</v>
      </c>
      <c r="AP31" s="18">
        <v>0.35021582050010608</v>
      </c>
      <c r="AQ31" s="18">
        <v>0.3502158205001063</v>
      </c>
      <c r="AR31" s="18">
        <v>0.69955984986633024</v>
      </c>
      <c r="AS31" s="18">
        <v>0.69955984986633057</v>
      </c>
      <c r="AT31" s="18">
        <v>0.69955984986633035</v>
      </c>
      <c r="AU31" s="18">
        <v>0.3137267456338893</v>
      </c>
      <c r="AV31" s="18">
        <v>0.46852877812870575</v>
      </c>
      <c r="AW31" s="18">
        <v>0.36109307324618345</v>
      </c>
      <c r="AX31" s="18">
        <v>0.3771944783447212</v>
      </c>
      <c r="AY31" s="18">
        <v>0.3404961145750629</v>
      </c>
      <c r="AZ31" s="18">
        <v>0.41825509122859272</v>
      </c>
      <c r="BA31" s="18">
        <v>0.32188799205917418</v>
      </c>
      <c r="BB31" s="19">
        <v>0.4939002017267996</v>
      </c>
    </row>
    <row r="32" spans="1:54">
      <c r="A32" s="4" t="s">
        <v>2</v>
      </c>
      <c r="B32" s="146">
        <f t="shared" ref="B32:W32" si="8">B$52*B4</f>
        <v>0</v>
      </c>
      <c r="C32" s="147">
        <f t="shared" si="8"/>
        <v>0</v>
      </c>
      <c r="D32" s="147">
        <f t="shared" si="8"/>
        <v>0</v>
      </c>
      <c r="E32" s="147">
        <f t="shared" si="8"/>
        <v>31.35300394277008</v>
      </c>
      <c r="F32" s="147">
        <f t="shared" si="8"/>
        <v>31.35300394277008</v>
      </c>
      <c r="G32" s="147">
        <f t="shared" si="8"/>
        <v>715.8065484083844</v>
      </c>
      <c r="H32" s="147">
        <f t="shared" si="8"/>
        <v>231.48744370607548</v>
      </c>
      <c r="I32" s="147">
        <f t="shared" si="8"/>
        <v>0</v>
      </c>
      <c r="J32" s="147">
        <f t="shared" si="8"/>
        <v>0</v>
      </c>
      <c r="K32" s="147">
        <f t="shared" si="8"/>
        <v>0</v>
      </c>
      <c r="L32" s="147">
        <f t="shared" si="8"/>
        <v>0</v>
      </c>
      <c r="M32" s="147">
        <f t="shared" si="8"/>
        <v>0</v>
      </c>
      <c r="N32" s="147">
        <f t="shared" si="8"/>
        <v>0</v>
      </c>
      <c r="O32" s="147">
        <f t="shared" si="8"/>
        <v>0</v>
      </c>
      <c r="P32" s="147">
        <f t="shared" si="8"/>
        <v>0</v>
      </c>
      <c r="Q32" s="147">
        <f t="shared" si="8"/>
        <v>0</v>
      </c>
      <c r="R32" s="147">
        <f t="shared" si="8"/>
        <v>0</v>
      </c>
      <c r="S32" s="147">
        <f t="shared" si="8"/>
        <v>0</v>
      </c>
      <c r="T32" s="147">
        <f t="shared" si="8"/>
        <v>0</v>
      </c>
      <c r="U32" s="147">
        <f t="shared" si="8"/>
        <v>0</v>
      </c>
      <c r="V32" s="147">
        <f t="shared" si="8"/>
        <v>0</v>
      </c>
      <c r="W32" s="148">
        <f t="shared" si="8"/>
        <v>0</v>
      </c>
      <c r="X32" s="149">
        <f t="shared" si="5"/>
        <v>0</v>
      </c>
      <c r="Y32" s="45">
        <f t="shared" si="5"/>
        <v>0</v>
      </c>
      <c r="Z32" s="45">
        <f t="shared" si="5"/>
        <v>0</v>
      </c>
      <c r="AA32" s="150">
        <f t="shared" si="5"/>
        <v>15.031176470588207</v>
      </c>
      <c r="AB32" s="138">
        <f t="shared" si="6"/>
        <v>15.031176470588207</v>
      </c>
      <c r="AC32" s="138">
        <v>1025.0311764705882</v>
      </c>
      <c r="AD32" s="45">
        <f t="shared" si="7"/>
        <v>1025.0311764705884</v>
      </c>
      <c r="AF32" t="s">
        <v>2</v>
      </c>
      <c r="AG32" s="17">
        <v>0</v>
      </c>
      <c r="AH32" s="18">
        <v>0</v>
      </c>
      <c r="AI32" s="18">
        <v>1</v>
      </c>
      <c r="AJ32" s="18">
        <v>6.0824291809497451E-2</v>
      </c>
      <c r="AK32" s="18">
        <v>3.5187489908262669E-2</v>
      </c>
      <c r="AL32" s="18">
        <v>0.15087327331731312</v>
      </c>
      <c r="AM32" s="18">
        <v>0.13229328614815927</v>
      </c>
      <c r="AN32" s="18">
        <v>0.12824228231971618</v>
      </c>
      <c r="AO32" s="18">
        <v>0.1206986186538505</v>
      </c>
      <c r="AP32" s="18">
        <v>0.1206986186538505</v>
      </c>
      <c r="AQ32" s="18">
        <v>0.12069861865385058</v>
      </c>
      <c r="AR32" s="18">
        <v>0.12567862184075129</v>
      </c>
      <c r="AS32" s="18">
        <v>0.12567862184075135</v>
      </c>
      <c r="AT32" s="18">
        <v>0.12567862184075129</v>
      </c>
      <c r="AU32" s="18">
        <v>0.106994470821118</v>
      </c>
      <c r="AV32" s="18">
        <v>0.10900891276290595</v>
      </c>
      <c r="AW32" s="18">
        <v>0.10806260744261581</v>
      </c>
      <c r="AX32" s="18">
        <v>0.1084408835701352</v>
      </c>
      <c r="AY32" s="18">
        <v>0.1060311599191206</v>
      </c>
      <c r="AZ32" s="18">
        <v>0.10820169019833883</v>
      </c>
      <c r="BA32" s="18">
        <v>0.11093569658653429</v>
      </c>
      <c r="BB32" s="19">
        <v>0.10772514273711101</v>
      </c>
    </row>
    <row r="33" spans="1:54">
      <c r="A33" s="4" t="s">
        <v>3</v>
      </c>
      <c r="B33" s="146">
        <f t="shared" ref="B33:W33" si="9">B$52*B5</f>
        <v>0</v>
      </c>
      <c r="C33" s="147">
        <f t="shared" si="9"/>
        <v>0</v>
      </c>
      <c r="D33" s="147">
        <f t="shared" si="9"/>
        <v>0</v>
      </c>
      <c r="E33" s="147">
        <f t="shared" si="9"/>
        <v>0</v>
      </c>
      <c r="F33" s="147">
        <f t="shared" si="9"/>
        <v>0</v>
      </c>
      <c r="G33" s="147">
        <f t="shared" si="9"/>
        <v>6472.1048899943908</v>
      </c>
      <c r="H33" s="147">
        <f t="shared" si="9"/>
        <v>0</v>
      </c>
      <c r="I33" s="147">
        <f t="shared" si="9"/>
        <v>0</v>
      </c>
      <c r="J33" s="147">
        <f t="shared" si="9"/>
        <v>0</v>
      </c>
      <c r="K33" s="147">
        <f t="shared" si="9"/>
        <v>0</v>
      </c>
      <c r="L33" s="147">
        <f t="shared" si="9"/>
        <v>0</v>
      </c>
      <c r="M33" s="147">
        <f t="shared" si="9"/>
        <v>0</v>
      </c>
      <c r="N33" s="147">
        <f t="shared" si="9"/>
        <v>0</v>
      </c>
      <c r="O33" s="147">
        <f t="shared" si="9"/>
        <v>0</v>
      </c>
      <c r="P33" s="147">
        <f t="shared" si="9"/>
        <v>0</v>
      </c>
      <c r="Q33" s="147">
        <f t="shared" si="9"/>
        <v>0</v>
      </c>
      <c r="R33" s="147">
        <f t="shared" si="9"/>
        <v>0</v>
      </c>
      <c r="S33" s="147">
        <f t="shared" si="9"/>
        <v>0</v>
      </c>
      <c r="T33" s="147">
        <f t="shared" si="9"/>
        <v>0</v>
      </c>
      <c r="U33" s="147">
        <f t="shared" si="9"/>
        <v>0</v>
      </c>
      <c r="V33" s="147">
        <f t="shared" si="9"/>
        <v>0</v>
      </c>
      <c r="W33" s="148">
        <f t="shared" si="9"/>
        <v>0</v>
      </c>
      <c r="X33" s="149">
        <f t="shared" si="5"/>
        <v>0</v>
      </c>
      <c r="Y33" s="45">
        <f t="shared" si="5"/>
        <v>0</v>
      </c>
      <c r="Z33" s="45">
        <f t="shared" si="5"/>
        <v>0</v>
      </c>
      <c r="AA33" s="150">
        <f t="shared" si="5"/>
        <v>340.63709947338975</v>
      </c>
      <c r="AB33" s="138">
        <f t="shared" si="6"/>
        <v>340.63709947338975</v>
      </c>
      <c r="AC33" s="138">
        <v>6812.7419894677823</v>
      </c>
      <c r="AD33" s="45">
        <f t="shared" si="7"/>
        <v>6812.7419894677805</v>
      </c>
      <c r="AF33" t="s">
        <v>3</v>
      </c>
      <c r="AG33" s="17">
        <v>0</v>
      </c>
      <c r="AH33" s="18">
        <v>0</v>
      </c>
      <c r="AI33" s="18">
        <v>0</v>
      </c>
      <c r="AJ33" s="18">
        <v>1.4538768495891161</v>
      </c>
      <c r="AK33" s="18">
        <v>0.16356608297026487</v>
      </c>
      <c r="AL33" s="18">
        <v>1.2795898910043355</v>
      </c>
      <c r="AM33" s="18">
        <v>0.14311943140592176</v>
      </c>
      <c r="AN33" s="18">
        <v>1.0876514073536854</v>
      </c>
      <c r="AO33" s="18">
        <v>1.0236719128034684</v>
      </c>
      <c r="AP33" s="18">
        <v>1.0236719128034684</v>
      </c>
      <c r="AQ33" s="18">
        <v>1.023671912803469</v>
      </c>
      <c r="AR33" s="18">
        <v>0.13596345983562558</v>
      </c>
      <c r="AS33" s="18">
        <v>0.13596345983562566</v>
      </c>
      <c r="AT33" s="18">
        <v>0.13596345983562566</v>
      </c>
      <c r="AU33" s="18">
        <v>0.89835122169275383</v>
      </c>
      <c r="AV33" s="18">
        <v>0.50180760441978189</v>
      </c>
      <c r="AW33" s="18">
        <v>0.78448815177584952</v>
      </c>
      <c r="AX33" s="18">
        <v>0.74603333464818133</v>
      </c>
      <c r="AY33" s="18">
        <v>0.8080855508995709</v>
      </c>
      <c r="AZ33" s="18">
        <v>0.62805902529631252</v>
      </c>
      <c r="BA33" s="18">
        <v>0.94087039263145633</v>
      </c>
      <c r="BB33" s="19">
        <v>0.41012391092259448</v>
      </c>
    </row>
    <row r="34" spans="1:54">
      <c r="A34" s="4" t="s">
        <v>4</v>
      </c>
      <c r="B34" s="146">
        <f t="shared" ref="B34:W34" si="10">B$52*B6</f>
        <v>0</v>
      </c>
      <c r="C34" s="147">
        <f t="shared" si="10"/>
        <v>0</v>
      </c>
      <c r="D34" s="147">
        <f t="shared" si="10"/>
        <v>0</v>
      </c>
      <c r="E34" s="147">
        <f t="shared" si="10"/>
        <v>0</v>
      </c>
      <c r="F34" s="147">
        <f t="shared" si="10"/>
        <v>0</v>
      </c>
      <c r="G34" s="147">
        <f t="shared" si="10"/>
        <v>0</v>
      </c>
      <c r="H34" s="147">
        <f t="shared" si="10"/>
        <v>1995.4820056259534</v>
      </c>
      <c r="I34" s="147">
        <f t="shared" si="10"/>
        <v>0</v>
      </c>
      <c r="J34" s="147">
        <f t="shared" si="10"/>
        <v>0</v>
      </c>
      <c r="K34" s="147">
        <f t="shared" si="10"/>
        <v>0</v>
      </c>
      <c r="L34" s="147">
        <f t="shared" si="10"/>
        <v>0</v>
      </c>
      <c r="M34" s="147">
        <f t="shared" si="10"/>
        <v>0</v>
      </c>
      <c r="N34" s="147">
        <f t="shared" si="10"/>
        <v>0</v>
      </c>
      <c r="O34" s="147">
        <f t="shared" si="10"/>
        <v>0</v>
      </c>
      <c r="P34" s="147">
        <f t="shared" si="10"/>
        <v>0</v>
      </c>
      <c r="Q34" s="147">
        <f t="shared" si="10"/>
        <v>0</v>
      </c>
      <c r="R34" s="147">
        <f t="shared" si="10"/>
        <v>0</v>
      </c>
      <c r="S34" s="147">
        <f t="shared" si="10"/>
        <v>0</v>
      </c>
      <c r="T34" s="147">
        <f t="shared" si="10"/>
        <v>0</v>
      </c>
      <c r="U34" s="147">
        <f t="shared" si="10"/>
        <v>0</v>
      </c>
      <c r="V34" s="147">
        <f t="shared" si="10"/>
        <v>0</v>
      </c>
      <c r="W34" s="148">
        <f t="shared" si="10"/>
        <v>0</v>
      </c>
      <c r="X34" s="149">
        <f t="shared" si="5"/>
        <v>0</v>
      </c>
      <c r="Y34" s="45">
        <f t="shared" si="5"/>
        <v>0</v>
      </c>
      <c r="Z34" s="45">
        <f t="shared" si="5"/>
        <v>0</v>
      </c>
      <c r="AA34" s="150">
        <f t="shared" si="5"/>
        <v>105.02536871715529</v>
      </c>
      <c r="AB34" s="138">
        <f t="shared" si="6"/>
        <v>105.02536871715529</v>
      </c>
      <c r="AC34" s="138">
        <v>2100.5073743431089</v>
      </c>
      <c r="AD34" s="45">
        <f t="shared" si="7"/>
        <v>2100.5073743431085</v>
      </c>
      <c r="AF34" t="s">
        <v>4</v>
      </c>
      <c r="AG34" s="17">
        <v>0</v>
      </c>
      <c r="AH34" s="18">
        <v>0</v>
      </c>
      <c r="AI34" s="18">
        <v>0</v>
      </c>
      <c r="AJ34" s="18">
        <v>3.0055151956693497E-2</v>
      </c>
      <c r="AK34" s="18">
        <v>1.0108311395108227</v>
      </c>
      <c r="AL34" s="18">
        <v>2.6452218856949931E-2</v>
      </c>
      <c r="AM34" s="18">
        <v>0.88447173953837843</v>
      </c>
      <c r="AN34" s="18">
        <v>2.2484386028407442E-2</v>
      </c>
      <c r="AO34" s="18">
        <v>2.1161775085559949E-2</v>
      </c>
      <c r="AP34" s="18">
        <v>2.1161775085559945E-2</v>
      </c>
      <c r="AQ34" s="18">
        <v>2.1161775085559945E-2</v>
      </c>
      <c r="AR34" s="18">
        <v>0.84024815256145924</v>
      </c>
      <c r="AS34" s="18">
        <v>0.84024815256145957</v>
      </c>
      <c r="AT34" s="18">
        <v>0.84024815256145935</v>
      </c>
      <c r="AU34" s="18">
        <v>2.6759335149700286E-2</v>
      </c>
      <c r="AV34" s="18">
        <v>0.3910441182821689</v>
      </c>
      <c r="AW34" s="18">
        <v>0.13509983817785109</v>
      </c>
      <c r="AX34" s="18">
        <v>0.17182345702006446</v>
      </c>
      <c r="AY34" s="18">
        <v>9.8822370924937827E-2</v>
      </c>
      <c r="AZ34" s="18">
        <v>0.27379645126973651</v>
      </c>
      <c r="BA34" s="18">
        <v>1.9450067335540847E-2</v>
      </c>
      <c r="BB34" s="19">
        <v>0.46190728303962614</v>
      </c>
    </row>
    <row r="35" spans="1:54">
      <c r="A35" s="4" t="s">
        <v>5</v>
      </c>
      <c r="B35" s="146">
        <f t="shared" ref="B35:W35" si="11">B$52*B7</f>
        <v>0</v>
      </c>
      <c r="C35" s="147">
        <f t="shared" si="11"/>
        <v>0</v>
      </c>
      <c r="D35" s="147">
        <f t="shared" si="11"/>
        <v>0</v>
      </c>
      <c r="E35" s="147">
        <f t="shared" si="11"/>
        <v>0</v>
      </c>
      <c r="F35" s="147">
        <f t="shared" si="11"/>
        <v>0</v>
      </c>
      <c r="G35" s="147">
        <f t="shared" si="11"/>
        <v>0</v>
      </c>
      <c r="H35" s="147">
        <f t="shared" si="11"/>
        <v>0</v>
      </c>
      <c r="I35" s="147">
        <f t="shared" si="11"/>
        <v>4834.853601548436</v>
      </c>
      <c r="J35" s="147">
        <f t="shared" si="11"/>
        <v>1916.9599869421991</v>
      </c>
      <c r="K35" s="147">
        <f t="shared" si="11"/>
        <v>378.4142309036074</v>
      </c>
      <c r="L35" s="147">
        <f t="shared" si="11"/>
        <v>131.72095631794409</v>
      </c>
      <c r="M35" s="147">
        <f t="shared" si="11"/>
        <v>0</v>
      </c>
      <c r="N35" s="147">
        <f t="shared" si="11"/>
        <v>0</v>
      </c>
      <c r="O35" s="147">
        <f t="shared" si="11"/>
        <v>0</v>
      </c>
      <c r="P35" s="147">
        <f t="shared" si="11"/>
        <v>0</v>
      </c>
      <c r="Q35" s="147">
        <f t="shared" si="11"/>
        <v>0</v>
      </c>
      <c r="R35" s="147">
        <f t="shared" si="11"/>
        <v>0</v>
      </c>
      <c r="S35" s="147">
        <f t="shared" si="11"/>
        <v>0</v>
      </c>
      <c r="T35" s="147">
        <f t="shared" si="11"/>
        <v>0</v>
      </c>
      <c r="U35" s="147">
        <f t="shared" si="11"/>
        <v>0</v>
      </c>
      <c r="V35" s="147">
        <f t="shared" si="11"/>
        <v>0</v>
      </c>
      <c r="W35" s="148">
        <f t="shared" si="11"/>
        <v>0</v>
      </c>
      <c r="X35" s="149">
        <f t="shared" si="5"/>
        <v>0</v>
      </c>
      <c r="Y35" s="45">
        <f t="shared" si="5"/>
        <v>0</v>
      </c>
      <c r="Z35" s="45">
        <f t="shared" si="5"/>
        <v>91.691272420608399</v>
      </c>
      <c r="AA35" s="150">
        <f t="shared" si="5"/>
        <v>0</v>
      </c>
      <c r="AB35" s="138">
        <f t="shared" si="6"/>
        <v>91.691272420608399</v>
      </c>
      <c r="AC35" s="138">
        <v>7353.6400481327937</v>
      </c>
      <c r="AD35" s="45">
        <f t="shared" si="7"/>
        <v>7353.6400481327946</v>
      </c>
      <c r="AF35" t="s">
        <v>5</v>
      </c>
      <c r="AG35" s="17">
        <v>0</v>
      </c>
      <c r="AH35" s="18">
        <v>0</v>
      </c>
      <c r="AI35" s="18">
        <v>0</v>
      </c>
      <c r="AJ35" s="18">
        <v>0.51569729396980779</v>
      </c>
      <c r="AK35" s="18">
        <v>0.18584465466649652</v>
      </c>
      <c r="AL35" s="18">
        <v>1.4538768495891161</v>
      </c>
      <c r="AM35" s="18">
        <v>0.16261306025488295</v>
      </c>
      <c r="AN35" s="18">
        <v>1.2357953221507489</v>
      </c>
      <c r="AO35" s="18">
        <v>1.1631014796712928</v>
      </c>
      <c r="AP35" s="18">
        <v>1.1631014796712928</v>
      </c>
      <c r="AQ35" s="18">
        <v>1.1631014796712935</v>
      </c>
      <c r="AR35" s="18">
        <v>0.15448240724213871</v>
      </c>
      <c r="AS35" s="18">
        <v>0.1544824072421388</v>
      </c>
      <c r="AT35" s="18">
        <v>0.1544824072421388</v>
      </c>
      <c r="AU35" s="18">
        <v>1.0207114429405642</v>
      </c>
      <c r="AV35" s="18">
        <v>0.57015647290013016</v>
      </c>
      <c r="AW35" s="18">
        <v>0.89133961643652593</v>
      </c>
      <c r="AX35" s="18">
        <v>0.84764704839566896</v>
      </c>
      <c r="AY35" s="18">
        <v>0.91815110700680957</v>
      </c>
      <c r="AZ35" s="18">
        <v>0.71360400974808891</v>
      </c>
      <c r="BA35" s="18">
        <v>1.0690219514293284</v>
      </c>
      <c r="BB35" s="19">
        <v>0.46598497201732636</v>
      </c>
    </row>
    <row r="36" spans="1:54">
      <c r="A36" s="4" t="s">
        <v>6</v>
      </c>
      <c r="B36" s="146">
        <f t="shared" ref="B36:W36" si="12">B$52*B8</f>
        <v>0</v>
      </c>
      <c r="C36" s="147">
        <f t="shared" si="12"/>
        <v>0</v>
      </c>
      <c r="D36" s="147">
        <f t="shared" si="12"/>
        <v>0</v>
      </c>
      <c r="E36" s="147">
        <f t="shared" si="12"/>
        <v>0</v>
      </c>
      <c r="F36" s="147">
        <f t="shared" si="12"/>
        <v>0</v>
      </c>
      <c r="G36" s="147">
        <f t="shared" si="12"/>
        <v>0</v>
      </c>
      <c r="H36" s="147">
        <f t="shared" si="12"/>
        <v>0</v>
      </c>
      <c r="I36" s="147">
        <f t="shared" si="12"/>
        <v>0</v>
      </c>
      <c r="J36" s="147">
        <f t="shared" si="12"/>
        <v>0</v>
      </c>
      <c r="K36" s="147">
        <f t="shared" si="12"/>
        <v>0</v>
      </c>
      <c r="L36" s="147">
        <f t="shared" si="12"/>
        <v>0</v>
      </c>
      <c r="M36" s="147">
        <f t="shared" si="12"/>
        <v>1083.8643351850681</v>
      </c>
      <c r="N36" s="147">
        <f t="shared" si="12"/>
        <v>743.34429238092264</v>
      </c>
      <c r="O36" s="147">
        <f t="shared" si="12"/>
        <v>340.04770923189488</v>
      </c>
      <c r="P36" s="147">
        <f t="shared" si="12"/>
        <v>0</v>
      </c>
      <c r="Q36" s="147">
        <f t="shared" si="12"/>
        <v>0</v>
      </c>
      <c r="R36" s="147">
        <f t="shared" si="12"/>
        <v>0</v>
      </c>
      <c r="S36" s="147">
        <f t="shared" si="12"/>
        <v>0</v>
      </c>
      <c r="T36" s="147">
        <f t="shared" si="12"/>
        <v>0</v>
      </c>
      <c r="U36" s="147">
        <f t="shared" si="12"/>
        <v>0</v>
      </c>
      <c r="V36" s="147">
        <f t="shared" si="12"/>
        <v>0</v>
      </c>
      <c r="W36" s="148">
        <f t="shared" si="12"/>
        <v>0</v>
      </c>
      <c r="X36" s="149">
        <f t="shared" si="5"/>
        <v>0</v>
      </c>
      <c r="Y36" s="45">
        <f t="shared" si="5"/>
        <v>0</v>
      </c>
      <c r="Z36" s="45">
        <f t="shared" si="5"/>
        <v>113.30872757939159</v>
      </c>
      <c r="AA36" s="150">
        <f t="shared" si="5"/>
        <v>0</v>
      </c>
      <c r="AB36" s="138">
        <f t="shared" si="6"/>
        <v>113.30872757939159</v>
      </c>
      <c r="AC36" s="138">
        <v>2280.5650643772774</v>
      </c>
      <c r="AD36" s="45">
        <f t="shared" si="7"/>
        <v>2280.5650643772769</v>
      </c>
      <c r="AF36" t="s">
        <v>6</v>
      </c>
      <c r="AG36" s="17">
        <v>0</v>
      </c>
      <c r="AH36" s="18">
        <v>0</v>
      </c>
      <c r="AI36" s="18">
        <v>0</v>
      </c>
      <c r="AJ36" s="18">
        <v>3.4348958980206241E-2</v>
      </c>
      <c r="AK36" s="18">
        <v>1.2378522234797337E-2</v>
      </c>
      <c r="AL36" s="18">
        <v>3.0231295511731995E-2</v>
      </c>
      <c r="AM36" s="18">
        <v>1.0108311395108227</v>
      </c>
      <c r="AN36" s="18">
        <v>2.5696601184972197E-2</v>
      </c>
      <c r="AO36" s="18">
        <v>2.4185036409385602E-2</v>
      </c>
      <c r="AP36" s="18">
        <v>2.4185036409385598E-2</v>
      </c>
      <c r="AQ36" s="18">
        <v>2.4185036409385598E-2</v>
      </c>
      <c r="AR36" s="18">
        <v>0.96028958253528129</v>
      </c>
      <c r="AS36" s="18">
        <v>0.96028958253528163</v>
      </c>
      <c r="AT36" s="18">
        <v>0.96028958253528141</v>
      </c>
      <c r="AU36" s="18">
        <v>3.0582287746176034E-2</v>
      </c>
      <c r="AV36" s="18">
        <v>0.44691034660810436</v>
      </c>
      <c r="AW36" s="18">
        <v>0.15440077649549289</v>
      </c>
      <c r="AX36" s="18">
        <v>0.19637088794372295</v>
      </c>
      <c r="AY36" s="18">
        <v>0.1129405557529197</v>
      </c>
      <c r="AZ36" s="18">
        <v>0.31291217848911057</v>
      </c>
      <c r="BA36" s="18">
        <v>2.2228786799460967E-2</v>
      </c>
      <c r="BB36" s="19">
        <v>0.52789732491281427</v>
      </c>
    </row>
    <row r="37" spans="1:54">
      <c r="A37" s="4" t="s">
        <v>7</v>
      </c>
      <c r="B37" s="146">
        <f t="shared" ref="B37:W37" si="13">B$52*B9</f>
        <v>0</v>
      </c>
      <c r="C37" s="147">
        <f t="shared" si="13"/>
        <v>0</v>
      </c>
      <c r="D37" s="147">
        <f t="shared" si="13"/>
        <v>0</v>
      </c>
      <c r="E37" s="147">
        <f t="shared" si="13"/>
        <v>1496.4611344990296</v>
      </c>
      <c r="F37" s="147">
        <f t="shared" si="13"/>
        <v>166.27345938878102</v>
      </c>
      <c r="G37" s="147">
        <f t="shared" si="13"/>
        <v>0</v>
      </c>
      <c r="H37" s="147">
        <f t="shared" si="13"/>
        <v>0</v>
      </c>
      <c r="I37" s="147">
        <f t="shared" si="13"/>
        <v>0</v>
      </c>
      <c r="J37" s="147">
        <f t="shared" si="13"/>
        <v>0</v>
      </c>
      <c r="K37" s="147">
        <f t="shared" si="13"/>
        <v>0</v>
      </c>
      <c r="L37" s="147">
        <f t="shared" si="13"/>
        <v>0</v>
      </c>
      <c r="M37" s="147">
        <f t="shared" si="13"/>
        <v>0</v>
      </c>
      <c r="N37" s="147">
        <f t="shared" si="13"/>
        <v>0</v>
      </c>
      <c r="O37" s="147">
        <f t="shared" si="13"/>
        <v>0</v>
      </c>
      <c r="P37" s="147">
        <f t="shared" si="13"/>
        <v>434.83429169655943</v>
      </c>
      <c r="Q37" s="147">
        <f t="shared" si="13"/>
        <v>629.22666300472201</v>
      </c>
      <c r="R37" s="147">
        <f t="shared" si="13"/>
        <v>412.68832534499654</v>
      </c>
      <c r="S37" s="147">
        <f t="shared" si="13"/>
        <v>266.80616604501904</v>
      </c>
      <c r="T37" s="147">
        <f t="shared" si="13"/>
        <v>117.76029726624685</v>
      </c>
      <c r="U37" s="147">
        <f t="shared" si="13"/>
        <v>200.36826699033048</v>
      </c>
      <c r="V37" s="147">
        <f t="shared" si="13"/>
        <v>1745.6645857438264</v>
      </c>
      <c r="W37" s="148">
        <f t="shared" si="13"/>
        <v>22.849012902406105</v>
      </c>
      <c r="X37" s="149">
        <f t="shared" si="5"/>
        <v>0</v>
      </c>
      <c r="Y37" s="45">
        <f t="shared" si="5"/>
        <v>195.13085776330075</v>
      </c>
      <c r="Z37" s="45">
        <f t="shared" si="5"/>
        <v>0</v>
      </c>
      <c r="AA37" s="150">
        <f t="shared" si="5"/>
        <v>0</v>
      </c>
      <c r="AB37" s="138">
        <f t="shared" si="6"/>
        <v>195.13085776330075</v>
      </c>
      <c r="AC37" s="138">
        <v>5688.0630606452187</v>
      </c>
      <c r="AD37" s="45">
        <f t="shared" si="7"/>
        <v>5688.0630606452178</v>
      </c>
      <c r="AF37" t="s">
        <v>7</v>
      </c>
      <c r="AG37" s="17">
        <v>0</v>
      </c>
      <c r="AH37" s="18">
        <v>0</v>
      </c>
      <c r="AI37" s="18">
        <v>0</v>
      </c>
      <c r="AJ37" s="18">
        <v>0.42335199378671057</v>
      </c>
      <c r="AK37" s="18">
        <v>0.1525656737153061</v>
      </c>
      <c r="AL37" s="18">
        <v>0.37260166274681455</v>
      </c>
      <c r="AM37" s="18">
        <v>0.13349413324378168</v>
      </c>
      <c r="AN37" s="18">
        <v>1.3167114133347926</v>
      </c>
      <c r="AO37" s="18">
        <v>0.29808133019745164</v>
      </c>
      <c r="AP37" s="18">
        <v>0.29808133019745164</v>
      </c>
      <c r="AQ37" s="18">
        <v>0.29808133019745175</v>
      </c>
      <c r="AR37" s="18">
        <v>0.12681942658159254</v>
      </c>
      <c r="AS37" s="18">
        <v>0.12681942658159259</v>
      </c>
      <c r="AT37" s="18">
        <v>0.12681942658159259</v>
      </c>
      <c r="AU37" s="18">
        <v>0.5984161572384924</v>
      </c>
      <c r="AV37" s="18">
        <v>0.4951529859772843</v>
      </c>
      <c r="AW37" s="18">
        <v>0.63112346826637644</v>
      </c>
      <c r="AX37" s="18">
        <v>0.6444026117811873</v>
      </c>
      <c r="AY37" s="18">
        <v>0.39385564010708773</v>
      </c>
      <c r="AZ37" s="18">
        <v>0.50690919825057612</v>
      </c>
      <c r="BA37" s="18">
        <v>1.13885431700481</v>
      </c>
      <c r="BB37" s="19">
        <v>0.24849981906981045</v>
      </c>
    </row>
    <row r="38" spans="1:54">
      <c r="A38" s="4" t="s">
        <v>8</v>
      </c>
      <c r="B38" s="146">
        <f t="shared" ref="B38:W38" si="14">B$52*B10</f>
        <v>0</v>
      </c>
      <c r="C38" s="147">
        <f t="shared" si="14"/>
        <v>0</v>
      </c>
      <c r="D38" s="147">
        <f t="shared" si="14"/>
        <v>0</v>
      </c>
      <c r="E38" s="147">
        <f t="shared" si="14"/>
        <v>563.8378371592928</v>
      </c>
      <c r="F38" s="147">
        <f t="shared" si="14"/>
        <v>62.648648573254739</v>
      </c>
      <c r="G38" s="147">
        <f t="shared" si="14"/>
        <v>0</v>
      </c>
      <c r="H38" s="147">
        <f t="shared" si="14"/>
        <v>0</v>
      </c>
      <c r="I38" s="147">
        <f t="shared" si="14"/>
        <v>0</v>
      </c>
      <c r="J38" s="147">
        <f t="shared" si="14"/>
        <v>0</v>
      </c>
      <c r="K38" s="147">
        <f t="shared" si="14"/>
        <v>0</v>
      </c>
      <c r="L38" s="147">
        <f t="shared" si="14"/>
        <v>0</v>
      </c>
      <c r="M38" s="147">
        <f t="shared" si="14"/>
        <v>0</v>
      </c>
      <c r="N38" s="147">
        <f t="shared" si="14"/>
        <v>0</v>
      </c>
      <c r="O38" s="147">
        <f t="shared" si="14"/>
        <v>0</v>
      </c>
      <c r="P38" s="147">
        <f t="shared" si="14"/>
        <v>662.26985089435561</v>
      </c>
      <c r="Q38" s="147">
        <f t="shared" si="14"/>
        <v>178.57382391418923</v>
      </c>
      <c r="R38" s="147">
        <f t="shared" si="14"/>
        <v>297.38869100670109</v>
      </c>
      <c r="S38" s="147">
        <f t="shared" si="14"/>
        <v>165.5674627235889</v>
      </c>
      <c r="T38" s="147">
        <f t="shared" si="14"/>
        <v>165.21593944816726</v>
      </c>
      <c r="U38" s="147">
        <f t="shared" si="14"/>
        <v>164.86441617274559</v>
      </c>
      <c r="V38" s="147">
        <f t="shared" si="14"/>
        <v>0</v>
      </c>
      <c r="W38" s="148">
        <f t="shared" si="14"/>
        <v>27.770338758308956</v>
      </c>
      <c r="X38" s="149">
        <f t="shared" si="5"/>
        <v>0</v>
      </c>
      <c r="Y38" s="45">
        <f t="shared" si="5"/>
        <v>108.0629750271444</v>
      </c>
      <c r="Z38" s="45">
        <f t="shared" si="5"/>
        <v>0</v>
      </c>
      <c r="AA38" s="150">
        <f t="shared" si="5"/>
        <v>0</v>
      </c>
      <c r="AB38" s="138">
        <f t="shared" si="6"/>
        <v>108.0629750271444</v>
      </c>
      <c r="AC38" s="138">
        <v>2396.1999836777486</v>
      </c>
      <c r="AD38" s="45">
        <f t="shared" si="7"/>
        <v>2396.1999836777486</v>
      </c>
      <c r="AF38" t="s">
        <v>8</v>
      </c>
      <c r="AG38" s="17">
        <v>0</v>
      </c>
      <c r="AH38" s="18">
        <v>0</v>
      </c>
      <c r="AI38" s="18">
        <v>0</v>
      </c>
      <c r="AJ38" s="18">
        <v>0.15666982766483425</v>
      </c>
      <c r="AK38" s="18">
        <v>5.6459962771755995E-2</v>
      </c>
      <c r="AL38" s="18">
        <v>0.13788865801251976</v>
      </c>
      <c r="AM38" s="18">
        <v>4.9402159802055062E-2</v>
      </c>
      <c r="AN38" s="18">
        <v>0.11720535931064181</v>
      </c>
      <c r="AO38" s="18">
        <v>1.1103109264100157</v>
      </c>
      <c r="AP38" s="18">
        <v>0.11031092641001584</v>
      </c>
      <c r="AQ38" s="18">
        <v>0.11031092641001589</v>
      </c>
      <c r="AR38" s="18">
        <v>4.6932051811952299E-2</v>
      </c>
      <c r="AS38" s="18">
        <v>4.6932051811952327E-2</v>
      </c>
      <c r="AT38" s="18">
        <v>4.6932051811952334E-2</v>
      </c>
      <c r="AU38" s="18">
        <v>0.60882348480174875</v>
      </c>
      <c r="AV38" s="18">
        <v>0.156550568807928</v>
      </c>
      <c r="AW38" s="18">
        <v>0.37037923599820166</v>
      </c>
      <c r="AX38" s="18">
        <v>0.34139151959211478</v>
      </c>
      <c r="AY38" s="18">
        <v>0.30068841167910881</v>
      </c>
      <c r="AZ38" s="18">
        <v>0.32199099200852382</v>
      </c>
      <c r="BA38" s="18">
        <v>0.10138823127294035</v>
      </c>
      <c r="BB38" s="19">
        <v>0.16114862819914477</v>
      </c>
    </row>
    <row r="39" spans="1:54">
      <c r="A39" s="4" t="s">
        <v>9</v>
      </c>
      <c r="B39" s="146">
        <f t="shared" ref="B39:W39" si="15">B$52*B11</f>
        <v>0</v>
      </c>
      <c r="C39" s="147">
        <f t="shared" si="15"/>
        <v>0</v>
      </c>
      <c r="D39" s="147">
        <f t="shared" si="15"/>
        <v>0</v>
      </c>
      <c r="E39" s="147">
        <f t="shared" si="15"/>
        <v>111.30345075346668</v>
      </c>
      <c r="F39" s="147">
        <f t="shared" si="15"/>
        <v>12.367050083718517</v>
      </c>
      <c r="G39" s="147">
        <f t="shared" si="15"/>
        <v>0</v>
      </c>
      <c r="H39" s="147">
        <f t="shared" si="15"/>
        <v>0</v>
      </c>
      <c r="I39" s="147">
        <f t="shared" si="15"/>
        <v>0</v>
      </c>
      <c r="J39" s="147">
        <f t="shared" si="15"/>
        <v>0</v>
      </c>
      <c r="K39" s="147">
        <f t="shared" si="15"/>
        <v>0</v>
      </c>
      <c r="L39" s="147">
        <f t="shared" si="15"/>
        <v>0</v>
      </c>
      <c r="M39" s="147">
        <f t="shared" si="15"/>
        <v>0</v>
      </c>
      <c r="N39" s="147">
        <f t="shared" si="15"/>
        <v>0</v>
      </c>
      <c r="O39" s="147">
        <f t="shared" si="15"/>
        <v>0</v>
      </c>
      <c r="P39" s="147">
        <f t="shared" si="15"/>
        <v>9.8426517118057095</v>
      </c>
      <c r="Q39" s="147">
        <f t="shared" si="15"/>
        <v>1.4060931016865297</v>
      </c>
      <c r="R39" s="147">
        <f t="shared" si="15"/>
        <v>4.9213258559028539</v>
      </c>
      <c r="S39" s="147">
        <f t="shared" si="15"/>
        <v>1.7576163771081625</v>
      </c>
      <c r="T39" s="147">
        <f t="shared" si="15"/>
        <v>318.83161080742065</v>
      </c>
      <c r="U39" s="147">
        <f t="shared" si="15"/>
        <v>4.9213258559028539</v>
      </c>
      <c r="V39" s="147">
        <f t="shared" si="15"/>
        <v>0.35152327542163242</v>
      </c>
      <c r="W39" s="148">
        <f t="shared" si="15"/>
        <v>1.7576163771081619</v>
      </c>
      <c r="X39" s="149">
        <f t="shared" si="5"/>
        <v>0</v>
      </c>
      <c r="Y39" s="45">
        <f t="shared" si="5"/>
        <v>5.5575244299674269</v>
      </c>
      <c r="Z39" s="45">
        <f t="shared" si="5"/>
        <v>0</v>
      </c>
      <c r="AA39" s="150">
        <f t="shared" si="5"/>
        <v>0</v>
      </c>
      <c r="AB39" s="138">
        <f t="shared" si="6"/>
        <v>5.5575244299674269</v>
      </c>
      <c r="AC39" s="138">
        <v>473.01778862950925</v>
      </c>
      <c r="AD39" s="45">
        <f t="shared" si="7"/>
        <v>473.0177886295092</v>
      </c>
      <c r="AF39" t="s">
        <v>9</v>
      </c>
      <c r="AG39" s="17">
        <v>0</v>
      </c>
      <c r="AH39" s="18">
        <v>0</v>
      </c>
      <c r="AI39" s="18">
        <v>0</v>
      </c>
      <c r="AJ39" s="18">
        <v>2.9075676498210194E-2</v>
      </c>
      <c r="AK39" s="18">
        <v>1.0478160582167023E-2</v>
      </c>
      <c r="AL39" s="18">
        <v>2.5590160357623602E-2</v>
      </c>
      <c r="AM39" s="18">
        <v>9.1683334189295723E-3</v>
      </c>
      <c r="AN39" s="18">
        <v>2.1751636303980065E-2</v>
      </c>
      <c r="AO39" s="18">
        <v>2.047212828609888E-2</v>
      </c>
      <c r="AP39" s="18">
        <v>1.0204721282860987</v>
      </c>
      <c r="AQ39" s="18">
        <v>2.0472128286098883E-2</v>
      </c>
      <c r="AR39" s="18">
        <v>8.7099167479830902E-3</v>
      </c>
      <c r="AS39" s="18">
        <v>8.709916747983092E-3</v>
      </c>
      <c r="AT39" s="18">
        <v>8.709916747983092E-3</v>
      </c>
      <c r="AU39" s="18">
        <v>2.5629356869248023E-2</v>
      </c>
      <c r="AV39" s="18">
        <v>1.345008836150509E-2</v>
      </c>
      <c r="AW39" s="18">
        <v>2.1193640011696081E-2</v>
      </c>
      <c r="AX39" s="18">
        <v>1.8745256874503177E-2</v>
      </c>
      <c r="AY39" s="18">
        <v>0.42285971429989166</v>
      </c>
      <c r="AZ39" s="18">
        <v>2.1717445901248772E-2</v>
      </c>
      <c r="BA39" s="18">
        <v>1.8990364902001507E-2</v>
      </c>
      <c r="BB39" s="19">
        <v>1.7741582756367079E-2</v>
      </c>
    </row>
    <row r="40" spans="1:54">
      <c r="A40" s="4" t="s">
        <v>78</v>
      </c>
      <c r="B40" s="146">
        <f t="shared" ref="B40:W40" si="16">B$52*B12</f>
        <v>0</v>
      </c>
      <c r="C40" s="147">
        <f t="shared" si="16"/>
        <v>0</v>
      </c>
      <c r="D40" s="147">
        <f t="shared" si="16"/>
        <v>0</v>
      </c>
      <c r="E40" s="147">
        <f t="shared" si="16"/>
        <v>29.637215171537438</v>
      </c>
      <c r="F40" s="147">
        <f t="shared" si="16"/>
        <v>3.2930239079486032</v>
      </c>
      <c r="G40" s="147">
        <f t="shared" si="16"/>
        <v>0</v>
      </c>
      <c r="H40" s="147">
        <f t="shared" si="16"/>
        <v>0</v>
      </c>
      <c r="I40" s="147">
        <f t="shared" si="16"/>
        <v>0</v>
      </c>
      <c r="J40" s="147">
        <f t="shared" si="16"/>
        <v>0</v>
      </c>
      <c r="K40" s="147">
        <f t="shared" si="16"/>
        <v>0</v>
      </c>
      <c r="L40" s="147">
        <f t="shared" si="16"/>
        <v>0</v>
      </c>
      <c r="M40" s="147">
        <f t="shared" si="16"/>
        <v>0</v>
      </c>
      <c r="N40" s="147">
        <f t="shared" si="16"/>
        <v>0</v>
      </c>
      <c r="O40" s="147">
        <f t="shared" si="16"/>
        <v>0</v>
      </c>
      <c r="P40" s="147">
        <f t="shared" si="16"/>
        <v>0</v>
      </c>
      <c r="Q40" s="147">
        <f t="shared" si="16"/>
        <v>25.661199105779165</v>
      </c>
      <c r="R40" s="147">
        <f t="shared" si="16"/>
        <v>49.564781834450173</v>
      </c>
      <c r="S40" s="147">
        <f t="shared" si="16"/>
        <v>6.3274189575893853</v>
      </c>
      <c r="T40" s="147">
        <f t="shared" si="16"/>
        <v>0.35152327542163248</v>
      </c>
      <c r="U40" s="147">
        <f t="shared" si="16"/>
        <v>3.5152327542163242</v>
      </c>
      <c r="V40" s="147">
        <f t="shared" si="16"/>
        <v>0</v>
      </c>
      <c r="W40" s="148">
        <f t="shared" si="16"/>
        <v>37.964513745536294</v>
      </c>
      <c r="X40" s="149">
        <f t="shared" si="5"/>
        <v>0</v>
      </c>
      <c r="Y40" s="45">
        <f t="shared" si="5"/>
        <v>8.336286644951139</v>
      </c>
      <c r="Z40" s="45">
        <f t="shared" si="5"/>
        <v>0</v>
      </c>
      <c r="AA40" s="150">
        <f t="shared" si="5"/>
        <v>0</v>
      </c>
      <c r="AB40" s="138">
        <f t="shared" si="6"/>
        <v>8.336286644951139</v>
      </c>
      <c r="AC40" s="138">
        <v>164.65119539743012</v>
      </c>
      <c r="AD40" s="45">
        <f t="shared" si="7"/>
        <v>164.65119539743017</v>
      </c>
      <c r="AF40" t="s">
        <v>78</v>
      </c>
      <c r="AG40" s="17">
        <v>0</v>
      </c>
      <c r="AH40" s="18">
        <v>0</v>
      </c>
      <c r="AI40" s="18">
        <v>0</v>
      </c>
      <c r="AJ40" s="18">
        <v>9.0646199008354647E-3</v>
      </c>
      <c r="AK40" s="18">
        <v>3.2666666566849314E-3</v>
      </c>
      <c r="AL40" s="18">
        <v>7.9779769477612943E-3</v>
      </c>
      <c r="AM40" s="18">
        <v>2.8583155261009902E-3</v>
      </c>
      <c r="AN40" s="18">
        <v>6.7812804055971017E-3</v>
      </c>
      <c r="AO40" s="18">
        <v>6.3823815582090358E-3</v>
      </c>
      <c r="AP40" s="18">
        <v>6.3823815582090349E-3</v>
      </c>
      <c r="AQ40" s="18">
        <v>1.0063823815582094</v>
      </c>
      <c r="AR40" s="18">
        <v>2.7153997497959396E-3</v>
      </c>
      <c r="AS40" s="18">
        <v>2.7153997497959405E-3</v>
      </c>
      <c r="AT40" s="18">
        <v>2.7153997497959405E-3</v>
      </c>
      <c r="AU40" s="18">
        <v>5.6192949388104872E-3</v>
      </c>
      <c r="AV40" s="18">
        <v>1.6594886354865078E-2</v>
      </c>
      <c r="AW40" s="18">
        <v>5.203295950273483E-2</v>
      </c>
      <c r="AX40" s="18">
        <v>1.4744259010456683E-2</v>
      </c>
      <c r="AY40" s="18">
        <v>5.6691401657307291E-3</v>
      </c>
      <c r="AZ40" s="18">
        <v>9.7055511341013704E-3</v>
      </c>
      <c r="BA40" s="18">
        <v>5.8661312941080774E-3</v>
      </c>
      <c r="BB40" s="19">
        <v>0.13955994630447252</v>
      </c>
    </row>
    <row r="41" spans="1:54">
      <c r="A41" s="4" t="s">
        <v>10</v>
      </c>
      <c r="B41" s="146">
        <f t="shared" ref="B41:W41" si="17">B$52*B13</f>
        <v>0</v>
      </c>
      <c r="C41" s="147">
        <f t="shared" si="17"/>
        <v>0</v>
      </c>
      <c r="D41" s="147">
        <f t="shared" si="17"/>
        <v>0</v>
      </c>
      <c r="E41" s="147">
        <f t="shared" si="17"/>
        <v>0</v>
      </c>
      <c r="F41" s="147">
        <f t="shared" si="17"/>
        <v>0</v>
      </c>
      <c r="G41" s="147">
        <f t="shared" si="17"/>
        <v>0</v>
      </c>
      <c r="H41" s="147">
        <f t="shared" si="17"/>
        <v>0</v>
      </c>
      <c r="I41" s="147">
        <f t="shared" si="17"/>
        <v>0</v>
      </c>
      <c r="J41" s="147">
        <f t="shared" si="17"/>
        <v>0</v>
      </c>
      <c r="K41" s="147">
        <f t="shared" si="17"/>
        <v>0</v>
      </c>
      <c r="L41" s="147">
        <f t="shared" si="17"/>
        <v>0</v>
      </c>
      <c r="M41" s="147">
        <f t="shared" si="17"/>
        <v>0</v>
      </c>
      <c r="N41" s="147">
        <f t="shared" si="17"/>
        <v>0</v>
      </c>
      <c r="O41" s="147">
        <f t="shared" si="17"/>
        <v>0</v>
      </c>
      <c r="P41" s="147">
        <f t="shared" si="17"/>
        <v>12.654837915178771</v>
      </c>
      <c r="Q41" s="147">
        <f t="shared" si="17"/>
        <v>388.2926100307352</v>
      </c>
      <c r="R41" s="147">
        <f t="shared" si="17"/>
        <v>86.900253929232036</v>
      </c>
      <c r="S41" s="147">
        <f t="shared" si="17"/>
        <v>72.76531801227793</v>
      </c>
      <c r="T41" s="147">
        <f t="shared" si="17"/>
        <v>46.190158390402502</v>
      </c>
      <c r="U41" s="147">
        <f t="shared" si="17"/>
        <v>126.12655122128174</v>
      </c>
      <c r="V41" s="147">
        <f t="shared" si="17"/>
        <v>0</v>
      </c>
      <c r="W41" s="148">
        <f t="shared" si="17"/>
        <v>90.693005058781154</v>
      </c>
      <c r="X41" s="149">
        <f t="shared" si="5"/>
        <v>0</v>
      </c>
      <c r="Y41" s="45">
        <f t="shared" si="5"/>
        <v>268.05458536782373</v>
      </c>
      <c r="Z41" s="45">
        <f t="shared" si="5"/>
        <v>0</v>
      </c>
      <c r="AA41" s="150">
        <f t="shared" si="5"/>
        <v>49.232506584885122</v>
      </c>
      <c r="AB41" s="138">
        <f t="shared" si="6"/>
        <v>317.28709195270886</v>
      </c>
      <c r="AC41" s="138">
        <v>1140.9098265105981</v>
      </c>
      <c r="AD41" s="45">
        <f t="shared" si="7"/>
        <v>1140.9098265105984</v>
      </c>
      <c r="AF41" t="s">
        <v>10</v>
      </c>
      <c r="AG41" s="17">
        <v>0</v>
      </c>
      <c r="AH41" s="18">
        <v>0</v>
      </c>
      <c r="AI41" s="18">
        <v>0</v>
      </c>
      <c r="AJ41" s="18">
        <v>1.7633589837811117E-2</v>
      </c>
      <c r="AK41" s="18">
        <v>6.35471322471301E-3</v>
      </c>
      <c r="AL41" s="18">
        <v>1.551972115448203E-2</v>
      </c>
      <c r="AM41" s="18">
        <v>5.5603394478423405E-3</v>
      </c>
      <c r="AN41" s="18">
        <v>1.3191762981309725E-2</v>
      </c>
      <c r="AO41" s="18">
        <v>1.2415776923585625E-2</v>
      </c>
      <c r="AP41" s="18">
        <v>1.2415776923585625E-2</v>
      </c>
      <c r="AQ41" s="18">
        <v>1.2415776923585625E-2</v>
      </c>
      <c r="AR41" s="18">
        <v>1.0052823224754501</v>
      </c>
      <c r="AS41" s="18">
        <v>5.2823224754502251E-3</v>
      </c>
      <c r="AT41" s="18">
        <v>5.2823224754502251E-3</v>
      </c>
      <c r="AU41" s="18">
        <v>2.0709064442373335E-2</v>
      </c>
      <c r="AV41" s="18">
        <v>0.19865550968579188</v>
      </c>
      <c r="AW41" s="18">
        <v>9.2217907567430632E-2</v>
      </c>
      <c r="AX41" s="18">
        <v>0.12178389344931929</v>
      </c>
      <c r="AY41" s="18">
        <v>6.8991960761637675E-2</v>
      </c>
      <c r="AZ41" s="18">
        <v>0.19561409450695538</v>
      </c>
      <c r="BA41" s="18">
        <v>1.1411504763207566E-2</v>
      </c>
      <c r="BB41" s="19">
        <v>0.33181042047190606</v>
      </c>
    </row>
    <row r="42" spans="1:54">
      <c r="A42" s="4" t="s">
        <v>11</v>
      </c>
      <c r="B42" s="146">
        <f t="shared" ref="B42:W42" si="18">B$52*B14</f>
        <v>0</v>
      </c>
      <c r="C42" s="147">
        <f t="shared" si="18"/>
        <v>0</v>
      </c>
      <c r="D42" s="147">
        <f t="shared" si="18"/>
        <v>0</v>
      </c>
      <c r="E42" s="147">
        <f t="shared" si="18"/>
        <v>0</v>
      </c>
      <c r="F42" s="147">
        <f t="shared" si="18"/>
        <v>0</v>
      </c>
      <c r="G42" s="147">
        <f t="shared" si="18"/>
        <v>0</v>
      </c>
      <c r="H42" s="147">
        <f t="shared" si="18"/>
        <v>0</v>
      </c>
      <c r="I42" s="147">
        <f t="shared" si="18"/>
        <v>0</v>
      </c>
      <c r="J42" s="147">
        <f t="shared" si="18"/>
        <v>0</v>
      </c>
      <c r="K42" s="147">
        <f t="shared" si="18"/>
        <v>0</v>
      </c>
      <c r="L42" s="147">
        <f t="shared" si="18"/>
        <v>0</v>
      </c>
      <c r="M42" s="147">
        <f t="shared" si="18"/>
        <v>0</v>
      </c>
      <c r="N42" s="147">
        <f t="shared" si="18"/>
        <v>0</v>
      </c>
      <c r="O42" s="147">
        <f t="shared" si="18"/>
        <v>0</v>
      </c>
      <c r="P42" s="147">
        <f t="shared" si="18"/>
        <v>0</v>
      </c>
      <c r="Q42" s="147">
        <f t="shared" si="18"/>
        <v>357.475736218772</v>
      </c>
      <c r="R42" s="147">
        <f t="shared" si="18"/>
        <v>39.500115422378144</v>
      </c>
      <c r="S42" s="147">
        <f t="shared" si="18"/>
        <v>36.382659006138965</v>
      </c>
      <c r="T42" s="147">
        <f t="shared" si="18"/>
        <v>23.095079195201251</v>
      </c>
      <c r="U42" s="147">
        <f t="shared" si="18"/>
        <v>63.063275610640872</v>
      </c>
      <c r="V42" s="147">
        <f t="shared" si="18"/>
        <v>0</v>
      </c>
      <c r="W42" s="148">
        <f t="shared" si="18"/>
        <v>45.346502529390577</v>
      </c>
      <c r="X42" s="149">
        <f t="shared" si="5"/>
        <v>0</v>
      </c>
      <c r="Y42" s="45">
        <f t="shared" si="5"/>
        <v>183.83928653366357</v>
      </c>
      <c r="Z42" s="45">
        <f t="shared" si="5"/>
        <v>0</v>
      </c>
      <c r="AA42" s="150">
        <f t="shared" si="5"/>
        <v>33.765021674259359</v>
      </c>
      <c r="AB42" s="138">
        <f t="shared" si="6"/>
        <v>217.60430820792294</v>
      </c>
      <c r="AC42" s="138">
        <v>782.46767619044488</v>
      </c>
      <c r="AD42" s="45">
        <f t="shared" si="7"/>
        <v>782.46767619044476</v>
      </c>
      <c r="AF42" t="s">
        <v>11</v>
      </c>
      <c r="AG42" s="17">
        <v>0</v>
      </c>
      <c r="AH42" s="18">
        <v>0</v>
      </c>
      <c r="AI42" s="18">
        <v>0</v>
      </c>
      <c r="AJ42" s="18">
        <v>1.2542417933708918E-2</v>
      </c>
      <c r="AK42" s="18">
        <v>4.5199797571741284E-3</v>
      </c>
      <c r="AL42" s="18">
        <v>1.1038865637939769E-2</v>
      </c>
      <c r="AM42" s="18">
        <v>3.9549576603276513E-3</v>
      </c>
      <c r="AN42" s="18">
        <v>9.3830357922488044E-3</v>
      </c>
      <c r="AO42" s="18">
        <v>8.8310925103518151E-3</v>
      </c>
      <c r="AP42" s="18">
        <v>8.8310925103518133E-3</v>
      </c>
      <c r="AQ42" s="18">
        <v>8.8310925103518133E-3</v>
      </c>
      <c r="AR42" s="18">
        <v>3.7572097773112688E-3</v>
      </c>
      <c r="AS42" s="18">
        <v>1.0037572097773113</v>
      </c>
      <c r="AT42" s="18">
        <v>3.7572097773112697E-3</v>
      </c>
      <c r="AU42" s="18">
        <v>7.7752345257014552E-3</v>
      </c>
      <c r="AV42" s="18">
        <v>0.18126924847270004</v>
      </c>
      <c r="AW42" s="18">
        <v>4.449242472154414E-2</v>
      </c>
      <c r="AX42" s="18">
        <v>6.2947054728435328E-2</v>
      </c>
      <c r="AY42" s="18">
        <v>3.6642007679217492E-2</v>
      </c>
      <c r="AZ42" s="18">
        <v>9.9655549911953911E-2</v>
      </c>
      <c r="BA42" s="18">
        <v>8.1167739132592849E-3</v>
      </c>
      <c r="BB42" s="19">
        <v>0.16737180597135504</v>
      </c>
    </row>
    <row r="43" spans="1:54">
      <c r="A43" s="4" t="s">
        <v>12</v>
      </c>
      <c r="B43" s="146">
        <f t="shared" ref="B43:W43" si="19">B$52*B15</f>
        <v>0</v>
      </c>
      <c r="C43" s="147">
        <f t="shared" si="19"/>
        <v>0</v>
      </c>
      <c r="D43" s="147">
        <f t="shared" si="19"/>
        <v>0</v>
      </c>
      <c r="E43" s="147">
        <f t="shared" si="19"/>
        <v>0</v>
      </c>
      <c r="F43" s="147">
        <f t="shared" si="19"/>
        <v>0</v>
      </c>
      <c r="G43" s="147">
        <f t="shared" si="19"/>
        <v>0</v>
      </c>
      <c r="H43" s="147">
        <f t="shared" si="19"/>
        <v>0</v>
      </c>
      <c r="I43" s="147">
        <f t="shared" si="19"/>
        <v>0</v>
      </c>
      <c r="J43" s="147">
        <f t="shared" si="19"/>
        <v>0</v>
      </c>
      <c r="K43" s="147">
        <f t="shared" si="19"/>
        <v>0</v>
      </c>
      <c r="L43" s="147">
        <f t="shared" si="19"/>
        <v>0</v>
      </c>
      <c r="M43" s="147">
        <f t="shared" si="19"/>
        <v>0</v>
      </c>
      <c r="N43" s="147">
        <f t="shared" si="19"/>
        <v>0</v>
      </c>
      <c r="O43" s="147">
        <f t="shared" si="19"/>
        <v>0</v>
      </c>
      <c r="P43" s="147">
        <f t="shared" si="19"/>
        <v>0</v>
      </c>
      <c r="Q43" s="147">
        <f t="shared" si="19"/>
        <v>178.737868109386</v>
      </c>
      <c r="R43" s="147">
        <f t="shared" si="19"/>
        <v>23.700069253426868</v>
      </c>
      <c r="S43" s="147">
        <f t="shared" si="19"/>
        <v>12.127553002046321</v>
      </c>
      <c r="T43" s="147">
        <f t="shared" si="19"/>
        <v>7.6983597317337509</v>
      </c>
      <c r="U43" s="147">
        <f t="shared" si="19"/>
        <v>21.02109187021362</v>
      </c>
      <c r="V43" s="147">
        <f t="shared" si="19"/>
        <v>0</v>
      </c>
      <c r="W43" s="148">
        <f t="shared" si="19"/>
        <v>15.115500843130192</v>
      </c>
      <c r="X43" s="149">
        <f t="shared" si="5"/>
        <v>0</v>
      </c>
      <c r="Y43" s="45">
        <f t="shared" si="5"/>
        <v>84.098484233148909</v>
      </c>
      <c r="Z43" s="45">
        <f t="shared" si="5"/>
        <v>0</v>
      </c>
      <c r="AA43" s="150">
        <f t="shared" si="5"/>
        <v>15.446030043119556</v>
      </c>
      <c r="AB43" s="138">
        <f t="shared" si="6"/>
        <v>99.544514276268472</v>
      </c>
      <c r="AC43" s="138">
        <v>357.94495708620514</v>
      </c>
      <c r="AD43" s="45">
        <f t="shared" si="7"/>
        <v>357.94495708620519</v>
      </c>
      <c r="AF43" t="s">
        <v>12</v>
      </c>
      <c r="AG43" s="17">
        <v>0</v>
      </c>
      <c r="AH43" s="18">
        <v>0</v>
      </c>
      <c r="AI43" s="18">
        <v>0</v>
      </c>
      <c r="AJ43" s="18">
        <v>5.9807911550128507E-3</v>
      </c>
      <c r="AK43" s="18">
        <v>2.1553304231626911E-3</v>
      </c>
      <c r="AL43" s="18">
        <v>5.2638295357171506E-3</v>
      </c>
      <c r="AM43" s="18">
        <v>1.885902376906626E-3</v>
      </c>
      <c r="AN43" s="18">
        <v>4.4742551053595769E-3</v>
      </c>
      <c r="AO43" s="18">
        <v>4.211063628573721E-3</v>
      </c>
      <c r="AP43" s="18">
        <v>4.2110636285737201E-3</v>
      </c>
      <c r="AQ43" s="18">
        <v>4.2110636285737201E-3</v>
      </c>
      <c r="AR43" s="18">
        <v>1.7916072580612945E-3</v>
      </c>
      <c r="AS43" s="18">
        <v>1.791607258061295E-3</v>
      </c>
      <c r="AT43" s="18">
        <v>1.001791607258061</v>
      </c>
      <c r="AU43" s="18">
        <v>3.7075828700052489E-3</v>
      </c>
      <c r="AV43" s="18">
        <v>9.0507185639512655E-2</v>
      </c>
      <c r="AW43" s="18">
        <v>2.5816800864175635E-2</v>
      </c>
      <c r="AX43" s="18">
        <v>2.1975249657743237E-2</v>
      </c>
      <c r="AY43" s="18">
        <v>1.325082708853401E-2</v>
      </c>
      <c r="AZ43" s="18">
        <v>3.4111596095944025E-2</v>
      </c>
      <c r="BA43" s="18">
        <v>3.8704442703341663E-3</v>
      </c>
      <c r="BB43" s="19">
        <v>5.6499168201806657E-2</v>
      </c>
    </row>
    <row r="44" spans="1:54">
      <c r="A44" s="4" t="s">
        <v>13</v>
      </c>
      <c r="B44" s="146">
        <f t="shared" ref="B44:W44" si="20">B$52*B16</f>
        <v>0</v>
      </c>
      <c r="C44" s="147">
        <f t="shared" si="20"/>
        <v>0</v>
      </c>
      <c r="D44" s="147">
        <f t="shared" si="20"/>
        <v>0</v>
      </c>
      <c r="E44" s="147">
        <f t="shared" si="20"/>
        <v>108.9111277938683</v>
      </c>
      <c r="F44" s="147">
        <f t="shared" si="20"/>
        <v>12.101236421540921</v>
      </c>
      <c r="G44" s="147">
        <f t="shared" si="20"/>
        <v>0</v>
      </c>
      <c r="H44" s="147">
        <f t="shared" si="20"/>
        <v>0</v>
      </c>
      <c r="I44" s="147">
        <f t="shared" si="20"/>
        <v>0</v>
      </c>
      <c r="J44" s="147">
        <f t="shared" si="20"/>
        <v>0</v>
      </c>
      <c r="K44" s="147">
        <f t="shared" si="20"/>
        <v>0</v>
      </c>
      <c r="L44" s="147">
        <f t="shared" si="20"/>
        <v>0</v>
      </c>
      <c r="M44" s="147">
        <f t="shared" si="20"/>
        <v>0</v>
      </c>
      <c r="N44" s="147">
        <f t="shared" si="20"/>
        <v>0</v>
      </c>
      <c r="O44" s="147">
        <f t="shared" si="20"/>
        <v>0</v>
      </c>
      <c r="P44" s="147">
        <f t="shared" si="20"/>
        <v>0</v>
      </c>
      <c r="Q44" s="147">
        <f t="shared" si="20"/>
        <v>0</v>
      </c>
      <c r="R44" s="147">
        <f t="shared" si="20"/>
        <v>0</v>
      </c>
      <c r="S44" s="147">
        <f t="shared" si="20"/>
        <v>0</v>
      </c>
      <c r="T44" s="147">
        <f t="shared" si="20"/>
        <v>0</v>
      </c>
      <c r="U44" s="147">
        <f t="shared" si="20"/>
        <v>0</v>
      </c>
      <c r="V44" s="147">
        <f t="shared" si="20"/>
        <v>0</v>
      </c>
      <c r="W44" s="148">
        <f t="shared" si="20"/>
        <v>0</v>
      </c>
      <c r="X44" s="149">
        <f t="shared" si="5"/>
        <v>1173.2380224508886</v>
      </c>
      <c r="Y44" s="45">
        <f t="shared" si="5"/>
        <v>0</v>
      </c>
      <c r="Z44" s="45">
        <f t="shared" si="5"/>
        <v>0</v>
      </c>
      <c r="AA44" s="150">
        <f t="shared" si="5"/>
        <v>0</v>
      </c>
      <c r="AB44" s="138">
        <f t="shared" si="6"/>
        <v>1173.2380224508886</v>
      </c>
      <c r="AC44" s="138">
        <v>1294.250386666298</v>
      </c>
      <c r="AD44" s="45">
        <f t="shared" si="7"/>
        <v>1294.2503866662978</v>
      </c>
      <c r="AF44" t="s">
        <v>13</v>
      </c>
      <c r="AG44" s="17">
        <v>0</v>
      </c>
      <c r="AH44" s="18">
        <v>0</v>
      </c>
      <c r="AI44" s="18">
        <v>0</v>
      </c>
      <c r="AJ44" s="18">
        <v>2.3415388286857075E-2</v>
      </c>
      <c r="AK44" s="18">
        <v>8.4383315579461896E-3</v>
      </c>
      <c r="AL44" s="18">
        <v>2.060841270997011E-2</v>
      </c>
      <c r="AM44" s="18">
        <v>7.3834941367853946E-3</v>
      </c>
      <c r="AN44" s="18">
        <v>1.7517150803474588E-2</v>
      </c>
      <c r="AO44" s="18">
        <v>1.6486730167976093E-2</v>
      </c>
      <c r="AP44" s="18">
        <v>1.6486730167976089E-2</v>
      </c>
      <c r="AQ44" s="18">
        <v>1.6486730167976093E-2</v>
      </c>
      <c r="AR44" s="18">
        <v>7.0143194299461245E-3</v>
      </c>
      <c r="AS44" s="18">
        <v>7.0143194299461253E-3</v>
      </c>
      <c r="AT44" s="18">
        <v>7.0143194299461262E-3</v>
      </c>
      <c r="AU44" s="18">
        <v>1.0145155532532029</v>
      </c>
      <c r="AV44" s="18">
        <v>1.0274935303578502E-2</v>
      </c>
      <c r="AW44" s="18">
        <v>1.3319454835655194E-2</v>
      </c>
      <c r="AX44" s="18">
        <v>1.2916269759079559E-2</v>
      </c>
      <c r="AY44" s="18">
        <v>1.3487693807595723E-2</v>
      </c>
      <c r="AZ44" s="18">
        <v>1.1617763613099385E-2</v>
      </c>
      <c r="BA44" s="18">
        <v>1.5153171726545766E-2</v>
      </c>
      <c r="BB44" s="19">
        <v>9.2174942198490397E-3</v>
      </c>
    </row>
    <row r="45" spans="1:54">
      <c r="A45" s="4" t="s">
        <v>14</v>
      </c>
      <c r="B45" s="146">
        <f t="shared" ref="B45:W45" si="21">B$52*B17</f>
        <v>0</v>
      </c>
      <c r="C45" s="147">
        <f t="shared" si="21"/>
        <v>0</v>
      </c>
      <c r="D45" s="147">
        <f t="shared" si="21"/>
        <v>0</v>
      </c>
      <c r="E45" s="147">
        <f t="shared" si="21"/>
        <v>230.04077980913294</v>
      </c>
      <c r="F45" s="147">
        <f t="shared" si="21"/>
        <v>25.560086645459208</v>
      </c>
      <c r="G45" s="147">
        <f t="shared" si="21"/>
        <v>0</v>
      </c>
      <c r="H45" s="147">
        <f t="shared" si="21"/>
        <v>0</v>
      </c>
      <c r="I45" s="147">
        <f t="shared" si="21"/>
        <v>0</v>
      </c>
      <c r="J45" s="147">
        <f t="shared" si="21"/>
        <v>0</v>
      </c>
      <c r="K45" s="147">
        <f t="shared" si="21"/>
        <v>0</v>
      </c>
      <c r="L45" s="147">
        <f t="shared" si="21"/>
        <v>0</v>
      </c>
      <c r="M45" s="147">
        <f t="shared" si="21"/>
        <v>0</v>
      </c>
      <c r="N45" s="147">
        <f t="shared" si="21"/>
        <v>0</v>
      </c>
      <c r="O45" s="147">
        <f t="shared" si="21"/>
        <v>0</v>
      </c>
      <c r="P45" s="147">
        <f t="shared" si="21"/>
        <v>0</v>
      </c>
      <c r="Q45" s="147">
        <f t="shared" si="21"/>
        <v>0</v>
      </c>
      <c r="R45" s="147">
        <f t="shared" si="21"/>
        <v>0</v>
      </c>
      <c r="S45" s="147">
        <f t="shared" si="21"/>
        <v>0</v>
      </c>
      <c r="T45" s="147">
        <f t="shared" si="21"/>
        <v>0</v>
      </c>
      <c r="U45" s="147">
        <f t="shared" si="21"/>
        <v>0</v>
      </c>
      <c r="V45" s="147">
        <f t="shared" si="21"/>
        <v>0</v>
      </c>
      <c r="W45" s="148">
        <f t="shared" si="21"/>
        <v>0</v>
      </c>
      <c r="X45" s="149">
        <f t="shared" si="5"/>
        <v>1778.221169735305</v>
      </c>
      <c r="Y45" s="45">
        <f t="shared" si="5"/>
        <v>0</v>
      </c>
      <c r="Z45" s="45">
        <f t="shared" si="5"/>
        <v>0</v>
      </c>
      <c r="AA45" s="150">
        <f t="shared" si="5"/>
        <v>0</v>
      </c>
      <c r="AB45" s="138">
        <f t="shared" si="6"/>
        <v>1778.221169735305</v>
      </c>
      <c r="AC45" s="138">
        <v>2033.8220361898968</v>
      </c>
      <c r="AD45" s="45">
        <f t="shared" si="7"/>
        <v>2033.8220361898971</v>
      </c>
      <c r="AF45" t="s">
        <v>14</v>
      </c>
      <c r="AG45" s="17">
        <v>0</v>
      </c>
      <c r="AH45" s="18">
        <v>0</v>
      </c>
      <c r="AI45" s="18">
        <v>0</v>
      </c>
      <c r="AJ45" s="18">
        <v>4.9457702717366388E-2</v>
      </c>
      <c r="AK45" s="18">
        <v>1.7823342859435931E-2</v>
      </c>
      <c r="AL45" s="18">
        <v>4.3528842520138486E-2</v>
      </c>
      <c r="AM45" s="18">
        <v>1.5595327891167965E-2</v>
      </c>
      <c r="AN45" s="18">
        <v>3.699951614211771E-2</v>
      </c>
      <c r="AO45" s="18">
        <v>3.4823074016110796E-2</v>
      </c>
      <c r="AP45" s="18">
        <v>3.4823074016110789E-2</v>
      </c>
      <c r="AQ45" s="18">
        <v>3.4823074016110789E-2</v>
      </c>
      <c r="AR45" s="18">
        <v>1.4815561496609564E-2</v>
      </c>
      <c r="AS45" s="18">
        <v>1.4815561496609567E-2</v>
      </c>
      <c r="AT45" s="18">
        <v>1.4815561496609569E-2</v>
      </c>
      <c r="AU45" s="18">
        <v>3.0659577743494315E-2</v>
      </c>
      <c r="AV45" s="18">
        <v>1.0217025952958376</v>
      </c>
      <c r="AW45" s="18">
        <v>2.8133192990396631E-2</v>
      </c>
      <c r="AX45" s="18">
        <v>2.7281590300188455E-2</v>
      </c>
      <c r="AY45" s="18">
        <v>2.8488545332103484E-2</v>
      </c>
      <c r="AZ45" s="18">
        <v>2.4538901169527852E-2</v>
      </c>
      <c r="BA45" s="18">
        <v>3.2006347846785833E-2</v>
      </c>
      <c r="BB45" s="19">
        <v>1.9469080902673627E-2</v>
      </c>
    </row>
    <row r="46" spans="1:54">
      <c r="A46" s="4" t="s">
        <v>15</v>
      </c>
      <c r="B46" s="146">
        <f t="shared" ref="B46:W46" si="22">B$52*B18</f>
        <v>0</v>
      </c>
      <c r="C46" s="147">
        <f t="shared" si="22"/>
        <v>0</v>
      </c>
      <c r="D46" s="147">
        <f t="shared" si="22"/>
        <v>0</v>
      </c>
      <c r="E46" s="147">
        <f t="shared" si="22"/>
        <v>163.95461657399983</v>
      </c>
      <c r="F46" s="147">
        <f t="shared" si="22"/>
        <v>18.217179619333308</v>
      </c>
      <c r="G46" s="147">
        <f t="shared" si="22"/>
        <v>0</v>
      </c>
      <c r="H46" s="147">
        <f t="shared" si="22"/>
        <v>0</v>
      </c>
      <c r="I46" s="147">
        <f t="shared" si="22"/>
        <v>0</v>
      </c>
      <c r="J46" s="147">
        <f t="shared" si="22"/>
        <v>0</v>
      </c>
      <c r="K46" s="147">
        <f t="shared" si="22"/>
        <v>0</v>
      </c>
      <c r="L46" s="147">
        <f t="shared" si="22"/>
        <v>0</v>
      </c>
      <c r="M46" s="147">
        <f t="shared" si="22"/>
        <v>0</v>
      </c>
      <c r="N46" s="147">
        <f t="shared" si="22"/>
        <v>0</v>
      </c>
      <c r="O46" s="147">
        <f t="shared" si="22"/>
        <v>0</v>
      </c>
      <c r="P46" s="147">
        <f t="shared" si="22"/>
        <v>0</v>
      </c>
      <c r="Q46" s="147">
        <f t="shared" si="22"/>
        <v>0</v>
      </c>
      <c r="R46" s="147">
        <f t="shared" si="22"/>
        <v>0</v>
      </c>
      <c r="S46" s="147">
        <f t="shared" si="22"/>
        <v>0</v>
      </c>
      <c r="T46" s="147">
        <f t="shared" si="22"/>
        <v>0</v>
      </c>
      <c r="U46" s="147">
        <f t="shared" si="22"/>
        <v>0</v>
      </c>
      <c r="V46" s="147">
        <f t="shared" si="22"/>
        <v>0</v>
      </c>
      <c r="W46" s="148">
        <f t="shared" si="22"/>
        <v>0</v>
      </c>
      <c r="X46" s="149">
        <f t="shared" si="5"/>
        <v>875.17184779590013</v>
      </c>
      <c r="Y46" s="45">
        <f t="shared" si="5"/>
        <v>0</v>
      </c>
      <c r="Z46" s="45">
        <f t="shared" si="5"/>
        <v>0</v>
      </c>
      <c r="AA46" s="150">
        <f t="shared" si="5"/>
        <v>0</v>
      </c>
      <c r="AB46" s="138">
        <f t="shared" si="6"/>
        <v>875.17184779590013</v>
      </c>
      <c r="AC46" s="138">
        <v>1057.3436439892332</v>
      </c>
      <c r="AD46" s="45">
        <f t="shared" si="7"/>
        <v>1057.3436439892332</v>
      </c>
      <c r="AF46" t="s">
        <v>15</v>
      </c>
      <c r="AG46" s="17">
        <v>0</v>
      </c>
      <c r="AH46" s="18">
        <v>0</v>
      </c>
      <c r="AI46" s="18">
        <v>0</v>
      </c>
      <c r="AJ46" s="18">
        <v>3.5249483558457077E-2</v>
      </c>
      <c r="AK46" s="18">
        <v>1.2703049202886325E-2</v>
      </c>
      <c r="AL46" s="18">
        <v>3.1023867556094879E-2</v>
      </c>
      <c r="AM46" s="18">
        <v>1.1115098839709004E-2</v>
      </c>
      <c r="AN46" s="18">
        <v>2.6370287422680647E-2</v>
      </c>
      <c r="AO46" s="18">
        <v>2.4819094044875905E-2</v>
      </c>
      <c r="AP46" s="18">
        <v>2.4819094044875905E-2</v>
      </c>
      <c r="AQ46" s="18">
        <v>2.4819094044875901E-2</v>
      </c>
      <c r="AR46" s="18">
        <v>1.0559343897723554E-2</v>
      </c>
      <c r="AS46" s="18">
        <v>1.0559343897723557E-2</v>
      </c>
      <c r="AT46" s="18">
        <v>1.0559343897723557E-2</v>
      </c>
      <c r="AU46" s="18">
        <v>2.1851687850415552E-2</v>
      </c>
      <c r="AV46" s="18">
        <v>1.546786918972399E-2</v>
      </c>
      <c r="AW46" s="18">
        <v>1.0200510834364669</v>
      </c>
      <c r="AX46" s="18">
        <v>1.9444129344838752E-2</v>
      </c>
      <c r="AY46" s="18">
        <v>2.0304350083282935E-2</v>
      </c>
      <c r="AZ46" s="18">
        <v>1.7489360520058044E-2</v>
      </c>
      <c r="BA46" s="18">
        <v>2.2811557557350527E-2</v>
      </c>
      <c r="BB46" s="19">
        <v>1.3875999277582471E-2</v>
      </c>
    </row>
    <row r="47" spans="1:54">
      <c r="A47" s="4" t="s">
        <v>16</v>
      </c>
      <c r="B47" s="146">
        <f t="shared" ref="B47:W47" si="23">B$52*B19</f>
        <v>0</v>
      </c>
      <c r="C47" s="147">
        <f t="shared" si="23"/>
        <v>0</v>
      </c>
      <c r="D47" s="147">
        <f t="shared" si="23"/>
        <v>0</v>
      </c>
      <c r="E47" s="147">
        <f t="shared" si="23"/>
        <v>67.033246910490377</v>
      </c>
      <c r="F47" s="147">
        <f t="shared" si="23"/>
        <v>7.4481385456100382</v>
      </c>
      <c r="G47" s="147">
        <f t="shared" si="23"/>
        <v>0</v>
      </c>
      <c r="H47" s="147">
        <f t="shared" si="23"/>
        <v>0</v>
      </c>
      <c r="I47" s="147">
        <f t="shared" si="23"/>
        <v>0</v>
      </c>
      <c r="J47" s="147">
        <f t="shared" si="23"/>
        <v>0</v>
      </c>
      <c r="K47" s="147">
        <f t="shared" si="23"/>
        <v>0</v>
      </c>
      <c r="L47" s="147">
        <f t="shared" si="23"/>
        <v>0</v>
      </c>
      <c r="M47" s="147">
        <f t="shared" si="23"/>
        <v>0</v>
      </c>
      <c r="N47" s="147">
        <f t="shared" si="23"/>
        <v>0</v>
      </c>
      <c r="O47" s="147">
        <f t="shared" si="23"/>
        <v>0</v>
      </c>
      <c r="P47" s="147">
        <f t="shared" si="23"/>
        <v>0</v>
      </c>
      <c r="Q47" s="147">
        <f t="shared" si="23"/>
        <v>0</v>
      </c>
      <c r="R47" s="147">
        <f t="shared" si="23"/>
        <v>0</v>
      </c>
      <c r="S47" s="147">
        <f t="shared" si="23"/>
        <v>0</v>
      </c>
      <c r="T47" s="147">
        <f t="shared" si="23"/>
        <v>0</v>
      </c>
      <c r="U47" s="147">
        <f t="shared" si="23"/>
        <v>0</v>
      </c>
      <c r="V47" s="147">
        <f t="shared" si="23"/>
        <v>0</v>
      </c>
      <c r="W47" s="148">
        <f t="shared" si="23"/>
        <v>0</v>
      </c>
      <c r="X47" s="149">
        <f t="shared" si="5"/>
        <v>574.8787771475869</v>
      </c>
      <c r="Y47" s="45">
        <f t="shared" si="5"/>
        <v>0</v>
      </c>
      <c r="Z47" s="45">
        <f t="shared" si="5"/>
        <v>0</v>
      </c>
      <c r="AA47" s="150">
        <f t="shared" si="5"/>
        <v>0</v>
      </c>
      <c r="AB47" s="138">
        <f t="shared" si="6"/>
        <v>574.8787771475869</v>
      </c>
      <c r="AC47" s="138">
        <v>649.3601626036874</v>
      </c>
      <c r="AD47" s="45">
        <f t="shared" si="7"/>
        <v>649.36016260368729</v>
      </c>
      <c r="AF47" t="s">
        <v>16</v>
      </c>
      <c r="AG47" s="17">
        <v>0</v>
      </c>
      <c r="AH47" s="18">
        <v>0</v>
      </c>
      <c r="AI47" s="18">
        <v>0</v>
      </c>
      <c r="AJ47" s="18">
        <v>1.4411837764719796E-2</v>
      </c>
      <c r="AK47" s="18">
        <v>5.1936728073091881E-3</v>
      </c>
      <c r="AL47" s="18">
        <v>1.2684184303327817E-2</v>
      </c>
      <c r="AM47" s="18">
        <v>4.5444354085658308E-3</v>
      </c>
      <c r="AN47" s="18">
        <v>1.078155665782865E-2</v>
      </c>
      <c r="AO47" s="18">
        <v>1.0147347442662257E-2</v>
      </c>
      <c r="AP47" s="18">
        <v>1.0147347442662257E-2</v>
      </c>
      <c r="AQ47" s="18">
        <v>1.0147347442662255E-2</v>
      </c>
      <c r="AR47" s="18">
        <v>4.3172136381375388E-3</v>
      </c>
      <c r="AS47" s="18">
        <v>4.3172136381375388E-3</v>
      </c>
      <c r="AT47" s="18">
        <v>4.3172136381375396E-3</v>
      </c>
      <c r="AU47" s="18">
        <v>8.9341161456514741E-3</v>
      </c>
      <c r="AV47" s="18">
        <v>6.3240762367063616E-3</v>
      </c>
      <c r="AW47" s="18">
        <v>8.1979346169424854E-3</v>
      </c>
      <c r="AX47" s="18">
        <v>1.0079497799486716</v>
      </c>
      <c r="AY47" s="18">
        <v>8.3014833063601648E-3</v>
      </c>
      <c r="AZ47" s="18">
        <v>7.1505679226695788E-3</v>
      </c>
      <c r="BA47" s="18">
        <v>9.3265612283907652E-3</v>
      </c>
      <c r="BB47" s="19">
        <v>5.6732363207604676E-3</v>
      </c>
    </row>
    <row r="48" spans="1:54">
      <c r="A48" s="4" t="s">
        <v>17</v>
      </c>
      <c r="B48" s="146">
        <f t="shared" ref="B48:W48" si="24">B$52*B20</f>
        <v>0</v>
      </c>
      <c r="C48" s="147">
        <f t="shared" si="24"/>
        <v>0</v>
      </c>
      <c r="D48" s="147">
        <f t="shared" si="24"/>
        <v>0</v>
      </c>
      <c r="E48" s="147">
        <f t="shared" si="24"/>
        <v>52.926091637040173</v>
      </c>
      <c r="F48" s="147">
        <f t="shared" si="24"/>
        <v>5.8806768485600172</v>
      </c>
      <c r="G48" s="147">
        <f t="shared" si="24"/>
        <v>0</v>
      </c>
      <c r="H48" s="147">
        <f t="shared" si="24"/>
        <v>0</v>
      </c>
      <c r="I48" s="147">
        <f t="shared" si="24"/>
        <v>0</v>
      </c>
      <c r="J48" s="147">
        <f t="shared" si="24"/>
        <v>0</v>
      </c>
      <c r="K48" s="147">
        <f t="shared" si="24"/>
        <v>0</v>
      </c>
      <c r="L48" s="147">
        <f t="shared" si="24"/>
        <v>0</v>
      </c>
      <c r="M48" s="147">
        <f t="shared" si="24"/>
        <v>0</v>
      </c>
      <c r="N48" s="147">
        <f t="shared" si="24"/>
        <v>0</v>
      </c>
      <c r="O48" s="147">
        <f t="shared" si="24"/>
        <v>0</v>
      </c>
      <c r="P48" s="147">
        <f t="shared" si="24"/>
        <v>0</v>
      </c>
      <c r="Q48" s="147">
        <f t="shared" si="24"/>
        <v>0</v>
      </c>
      <c r="R48" s="147">
        <f t="shared" si="24"/>
        <v>0</v>
      </c>
      <c r="S48" s="147">
        <f t="shared" si="24"/>
        <v>0</v>
      </c>
      <c r="T48" s="147">
        <f t="shared" si="24"/>
        <v>0</v>
      </c>
      <c r="U48" s="147">
        <f t="shared" si="24"/>
        <v>0</v>
      </c>
      <c r="V48" s="147">
        <f t="shared" si="24"/>
        <v>0</v>
      </c>
      <c r="W48" s="148">
        <f t="shared" si="24"/>
        <v>0</v>
      </c>
      <c r="X48" s="149">
        <f t="shared" si="5"/>
        <v>726.27698254714335</v>
      </c>
      <c r="Y48" s="45">
        <f t="shared" si="5"/>
        <v>0</v>
      </c>
      <c r="Z48" s="45">
        <f t="shared" si="5"/>
        <v>0</v>
      </c>
      <c r="AA48" s="150">
        <f t="shared" si="5"/>
        <v>0</v>
      </c>
      <c r="AB48" s="138">
        <f t="shared" si="6"/>
        <v>726.27698254714335</v>
      </c>
      <c r="AC48" s="138">
        <v>785.08375103274352</v>
      </c>
      <c r="AD48" s="45">
        <f t="shared" si="7"/>
        <v>785.08375103274352</v>
      </c>
      <c r="AF48" t="s">
        <v>17</v>
      </c>
      <c r="AG48" s="17">
        <v>0</v>
      </c>
      <c r="AH48" s="18">
        <v>0</v>
      </c>
      <c r="AI48" s="18">
        <v>0</v>
      </c>
      <c r="AJ48" s="18">
        <v>1.137886468802912E-2</v>
      </c>
      <c r="AK48" s="18">
        <v>4.1006637094500083E-3</v>
      </c>
      <c r="AL48" s="18">
        <v>1.001479611565669E-2</v>
      </c>
      <c r="AM48" s="18">
        <v>3.5880584032208828E-3</v>
      </c>
      <c r="AN48" s="18">
        <v>8.5125766983081847E-3</v>
      </c>
      <c r="AO48" s="18">
        <v>8.0118368925253553E-3</v>
      </c>
      <c r="AP48" s="18">
        <v>8.0118368925253553E-3</v>
      </c>
      <c r="AQ48" s="18">
        <v>8.0118368925253536E-3</v>
      </c>
      <c r="AR48" s="18">
        <v>3.4086554830598382E-3</v>
      </c>
      <c r="AS48" s="18">
        <v>3.4086554830598387E-3</v>
      </c>
      <c r="AT48" s="18">
        <v>3.40865548305984E-3</v>
      </c>
      <c r="AU48" s="18">
        <v>7.053930275108181E-3</v>
      </c>
      <c r="AV48" s="18">
        <v>4.9931735944476335E-3</v>
      </c>
      <c r="AW48" s="18">
        <v>6.4726782420390381E-3</v>
      </c>
      <c r="AX48" s="18">
        <v>6.2767477550284131E-3</v>
      </c>
      <c r="AY48" s="18">
        <v>1.0065544350966986</v>
      </c>
      <c r="AZ48" s="18">
        <v>5.645730000777633E-3</v>
      </c>
      <c r="BA48" s="18">
        <v>7.3637852406493957E-3</v>
      </c>
      <c r="BB48" s="19">
        <v>4.4793030209635196E-3</v>
      </c>
    </row>
    <row r="49" spans="1:54">
      <c r="A49" s="4" t="s">
        <v>18</v>
      </c>
      <c r="B49" s="146">
        <f t="shared" ref="B49:W49" si="25">B$52*B21</f>
        <v>0</v>
      </c>
      <c r="C49" s="147">
        <f t="shared" si="25"/>
        <v>0</v>
      </c>
      <c r="D49" s="147">
        <f t="shared" si="25"/>
        <v>0</v>
      </c>
      <c r="E49" s="147">
        <f t="shared" si="25"/>
        <v>56.901542707028845</v>
      </c>
      <c r="F49" s="147">
        <f t="shared" si="25"/>
        <v>6.3223936341143148</v>
      </c>
      <c r="G49" s="147">
        <f t="shared" si="25"/>
        <v>0</v>
      </c>
      <c r="H49" s="147">
        <f t="shared" si="25"/>
        <v>0</v>
      </c>
      <c r="I49" s="147">
        <f t="shared" si="25"/>
        <v>0</v>
      </c>
      <c r="J49" s="147">
        <f t="shared" si="25"/>
        <v>0</v>
      </c>
      <c r="K49" s="147">
        <f t="shared" si="25"/>
        <v>0</v>
      </c>
      <c r="L49" s="147">
        <f t="shared" si="25"/>
        <v>0</v>
      </c>
      <c r="M49" s="147">
        <f t="shared" si="25"/>
        <v>0</v>
      </c>
      <c r="N49" s="147">
        <f t="shared" si="25"/>
        <v>0</v>
      </c>
      <c r="O49" s="147">
        <f t="shared" si="25"/>
        <v>0</v>
      </c>
      <c r="P49" s="147">
        <f t="shared" si="25"/>
        <v>0</v>
      </c>
      <c r="Q49" s="147">
        <f t="shared" si="25"/>
        <v>0</v>
      </c>
      <c r="R49" s="147">
        <f t="shared" si="25"/>
        <v>0</v>
      </c>
      <c r="S49" s="147">
        <f t="shared" si="25"/>
        <v>0</v>
      </c>
      <c r="T49" s="147">
        <f t="shared" si="25"/>
        <v>0</v>
      </c>
      <c r="U49" s="147">
        <f t="shared" si="25"/>
        <v>0</v>
      </c>
      <c r="V49" s="147">
        <f t="shared" si="25"/>
        <v>0</v>
      </c>
      <c r="W49" s="148">
        <f t="shared" si="25"/>
        <v>0</v>
      </c>
      <c r="X49" s="149">
        <f t="shared" si="5"/>
        <v>611.73678336143792</v>
      </c>
      <c r="Y49" s="45">
        <f t="shared" si="5"/>
        <v>0</v>
      </c>
      <c r="Z49" s="45">
        <f t="shared" si="5"/>
        <v>0</v>
      </c>
      <c r="AA49" s="150">
        <f t="shared" si="5"/>
        <v>0</v>
      </c>
      <c r="AB49" s="138">
        <f t="shared" si="6"/>
        <v>611.73678336143792</v>
      </c>
      <c r="AC49" s="138">
        <v>674.96071970258106</v>
      </c>
      <c r="AD49" s="45">
        <f t="shared" si="7"/>
        <v>674.96071970258106</v>
      </c>
      <c r="AF49" t="s">
        <v>18</v>
      </c>
      <c r="AG49" s="17">
        <v>0</v>
      </c>
      <c r="AH49" s="18">
        <v>0</v>
      </c>
      <c r="AI49" s="18">
        <v>0</v>
      </c>
      <c r="AJ49" s="18">
        <v>1.2233568264282301E-2</v>
      </c>
      <c r="AK49" s="18">
        <v>4.4086779124104993E-3</v>
      </c>
      <c r="AL49" s="18">
        <v>1.0767040060037472E-2</v>
      </c>
      <c r="AM49" s="18">
        <v>3.857569152589794E-3</v>
      </c>
      <c r="AN49" s="18">
        <v>9.1519840510318508E-3</v>
      </c>
      <c r="AO49" s="18">
        <v>8.6136320480299771E-3</v>
      </c>
      <c r="AP49" s="18">
        <v>8.6136320480299771E-3</v>
      </c>
      <c r="AQ49" s="18">
        <v>8.6136320480299771E-3</v>
      </c>
      <c r="AR49" s="18">
        <v>3.6646906949603041E-3</v>
      </c>
      <c r="AS49" s="18">
        <v>3.6646906949603041E-3</v>
      </c>
      <c r="AT49" s="18">
        <v>3.664690694960305E-3</v>
      </c>
      <c r="AU49" s="18">
        <v>7.5837739456387073E-3</v>
      </c>
      <c r="AV49" s="18">
        <v>5.3682271208787087E-3</v>
      </c>
      <c r="AW49" s="18">
        <v>6.9588621798115802E-3</v>
      </c>
      <c r="AX49" s="18">
        <v>6.7482147159727487E-3</v>
      </c>
      <c r="AY49" s="18">
        <v>7.0467600580245305E-3</v>
      </c>
      <c r="AZ49" s="18">
        <v>1.0060697991636092</v>
      </c>
      <c r="BA49" s="18">
        <v>7.9169031265281797E-3</v>
      </c>
      <c r="BB49" s="19">
        <v>4.8157580554597903E-3</v>
      </c>
    </row>
    <row r="50" spans="1:54">
      <c r="A50" s="4" t="s">
        <v>19</v>
      </c>
      <c r="B50" s="146">
        <f t="shared" ref="B50:W50" si="26">B$52*B22</f>
        <v>0</v>
      </c>
      <c r="C50" s="147">
        <f t="shared" si="26"/>
        <v>0</v>
      </c>
      <c r="D50" s="147">
        <f t="shared" si="26"/>
        <v>0</v>
      </c>
      <c r="E50" s="147">
        <f t="shared" si="26"/>
        <v>286.68991207103477</v>
      </c>
      <c r="F50" s="147">
        <f t="shared" si="26"/>
        <v>31.85443467455941</v>
      </c>
      <c r="G50" s="147">
        <f t="shared" si="26"/>
        <v>0</v>
      </c>
      <c r="H50" s="147">
        <f t="shared" si="26"/>
        <v>0</v>
      </c>
      <c r="I50" s="147">
        <f t="shared" si="26"/>
        <v>0</v>
      </c>
      <c r="J50" s="147">
        <f t="shared" si="26"/>
        <v>0</v>
      </c>
      <c r="K50" s="147">
        <f t="shared" si="26"/>
        <v>0</v>
      </c>
      <c r="L50" s="147">
        <f t="shared" si="26"/>
        <v>0</v>
      </c>
      <c r="M50" s="147">
        <f t="shared" si="26"/>
        <v>0</v>
      </c>
      <c r="N50" s="147">
        <f t="shared" si="26"/>
        <v>0</v>
      </c>
      <c r="O50" s="147">
        <f t="shared" si="26"/>
        <v>0</v>
      </c>
      <c r="P50" s="147">
        <f t="shared" si="26"/>
        <v>0</v>
      </c>
      <c r="Q50" s="147">
        <f t="shared" si="26"/>
        <v>0</v>
      </c>
      <c r="R50" s="147">
        <f t="shared" si="26"/>
        <v>0</v>
      </c>
      <c r="S50" s="147">
        <f t="shared" si="26"/>
        <v>0</v>
      </c>
      <c r="T50" s="147">
        <f t="shared" si="26"/>
        <v>0</v>
      </c>
      <c r="U50" s="147">
        <f t="shared" si="26"/>
        <v>0</v>
      </c>
      <c r="V50" s="147">
        <f t="shared" si="26"/>
        <v>0</v>
      </c>
      <c r="W50" s="148">
        <f t="shared" si="26"/>
        <v>0</v>
      </c>
      <c r="X50" s="149">
        <f t="shared" si="5"/>
        <v>1699.8360835751289</v>
      </c>
      <c r="Y50" s="45">
        <f t="shared" si="5"/>
        <v>0</v>
      </c>
      <c r="Z50" s="45">
        <f t="shared" si="5"/>
        <v>0</v>
      </c>
      <c r="AA50" s="150">
        <f t="shared" si="5"/>
        <v>0</v>
      </c>
      <c r="AB50" s="138">
        <f t="shared" si="6"/>
        <v>1699.8360835751289</v>
      </c>
      <c r="AC50" s="138">
        <v>2018.3804303207228</v>
      </c>
      <c r="AD50" s="45">
        <f t="shared" si="7"/>
        <v>2018.380430320723</v>
      </c>
      <c r="AF50" t="s">
        <v>19</v>
      </c>
      <c r="AG50" s="17">
        <v>0</v>
      </c>
      <c r="AH50" s="18">
        <v>0</v>
      </c>
      <c r="AI50" s="18">
        <v>0</v>
      </c>
      <c r="AJ50" s="18">
        <v>6.1637003904445223E-2</v>
      </c>
      <c r="AK50" s="18">
        <v>2.2212464248396385E-2</v>
      </c>
      <c r="AL50" s="18">
        <v>5.4248120898418968E-2</v>
      </c>
      <c r="AM50" s="18">
        <v>1.9435785192293085E-2</v>
      </c>
      <c r="AN50" s="18">
        <v>4.6110902763656127E-2</v>
      </c>
      <c r="AO50" s="18">
        <v>4.3398496718735177E-2</v>
      </c>
      <c r="AP50" s="18">
        <v>4.3398496718735177E-2</v>
      </c>
      <c r="AQ50" s="18">
        <v>4.3398496718735177E-2</v>
      </c>
      <c r="AR50" s="18">
        <v>1.8463995932678428E-2</v>
      </c>
      <c r="AS50" s="18">
        <v>1.8463995932678428E-2</v>
      </c>
      <c r="AT50" s="18">
        <v>1.8463995932678431E-2</v>
      </c>
      <c r="AU50" s="18">
        <v>3.8209710707425078E-2</v>
      </c>
      <c r="AV50" s="18">
        <v>2.7047009413893291E-2</v>
      </c>
      <c r="AW50" s="18">
        <v>3.5061186244396692E-2</v>
      </c>
      <c r="AX50" s="18">
        <v>3.3999870504736067E-2</v>
      </c>
      <c r="AY50" s="18">
        <v>3.5504046556740894E-2</v>
      </c>
      <c r="AZ50" s="18">
        <v>3.0581775215893489E-2</v>
      </c>
      <c r="BA50" s="18">
        <v>1.0398881322586513</v>
      </c>
      <c r="BB50" s="19">
        <v>2.4263476661496551E-2</v>
      </c>
    </row>
    <row r="51" spans="1:54" ht="16.2" thickBot="1">
      <c r="A51" s="4" t="s">
        <v>20</v>
      </c>
      <c r="B51" s="151">
        <f t="shared" ref="B51:W51" si="27">B$52*B23</f>
        <v>0</v>
      </c>
      <c r="C51" s="152">
        <f t="shared" si="27"/>
        <v>0</v>
      </c>
      <c r="D51" s="152">
        <f t="shared" si="27"/>
        <v>0</v>
      </c>
      <c r="E51" s="152">
        <f t="shared" si="27"/>
        <v>7.0840010066113921</v>
      </c>
      <c r="F51" s="152">
        <f t="shared" si="27"/>
        <v>0.78711122295682123</v>
      </c>
      <c r="G51" s="152">
        <f t="shared" si="27"/>
        <v>0</v>
      </c>
      <c r="H51" s="152">
        <f t="shared" si="27"/>
        <v>0</v>
      </c>
      <c r="I51" s="152">
        <f t="shared" si="27"/>
        <v>0</v>
      </c>
      <c r="J51" s="152">
        <f t="shared" si="27"/>
        <v>0</v>
      </c>
      <c r="K51" s="152">
        <f t="shared" si="27"/>
        <v>0</v>
      </c>
      <c r="L51" s="152">
        <f t="shared" si="27"/>
        <v>0</v>
      </c>
      <c r="M51" s="152">
        <f t="shared" si="27"/>
        <v>0</v>
      </c>
      <c r="N51" s="152">
        <f t="shared" si="27"/>
        <v>0</v>
      </c>
      <c r="O51" s="152">
        <f t="shared" si="27"/>
        <v>0</v>
      </c>
      <c r="P51" s="152">
        <f t="shared" si="27"/>
        <v>0</v>
      </c>
      <c r="Q51" s="152">
        <f t="shared" si="27"/>
        <v>0</v>
      </c>
      <c r="R51" s="152">
        <f t="shared" si="27"/>
        <v>0</v>
      </c>
      <c r="S51" s="152">
        <f t="shared" si="27"/>
        <v>0</v>
      </c>
      <c r="T51" s="152">
        <f t="shared" si="27"/>
        <v>0</v>
      </c>
      <c r="U51" s="152">
        <f t="shared" si="27"/>
        <v>0</v>
      </c>
      <c r="V51" s="152">
        <f t="shared" si="27"/>
        <v>0</v>
      </c>
      <c r="W51" s="153">
        <f t="shared" si="27"/>
        <v>0</v>
      </c>
      <c r="X51" s="154">
        <f t="shared" si="5"/>
        <v>271.29686756313095</v>
      </c>
      <c r="Y51" s="155">
        <f t="shared" si="5"/>
        <v>0</v>
      </c>
      <c r="Z51" s="155">
        <f t="shared" si="5"/>
        <v>0</v>
      </c>
      <c r="AA51" s="156">
        <f t="shared" si="5"/>
        <v>0</v>
      </c>
      <c r="AB51" s="139">
        <f t="shared" si="6"/>
        <v>271.29686756313095</v>
      </c>
      <c r="AC51" s="139">
        <v>279.1679797926991</v>
      </c>
      <c r="AD51" s="45">
        <f t="shared" si="7"/>
        <v>279.16797979269916</v>
      </c>
      <c r="AF51" t="s">
        <v>20</v>
      </c>
      <c r="AG51" s="20">
        <v>0</v>
      </c>
      <c r="AH51" s="21">
        <v>0</v>
      </c>
      <c r="AI51" s="21">
        <v>0</v>
      </c>
      <c r="AJ51" s="21">
        <v>1.5230274220301562E-3</v>
      </c>
      <c r="AK51" s="21">
        <v>5.4886172296139701E-4</v>
      </c>
      <c r="AL51" s="21">
        <v>1.3404508734718153E-3</v>
      </c>
      <c r="AM51" s="21">
        <v>4.8025101710719588E-4</v>
      </c>
      <c r="AN51" s="21">
        <v>1.1393832424510424E-3</v>
      </c>
      <c r="AO51" s="21">
        <v>1.072360698777452E-3</v>
      </c>
      <c r="AP51" s="21">
        <v>1.072360698777452E-3</v>
      </c>
      <c r="AQ51" s="21">
        <v>1.072360698777452E-3</v>
      </c>
      <c r="AR51" s="21">
        <v>4.5623846625183595E-4</v>
      </c>
      <c r="AS51" s="21">
        <v>4.56238466251836E-4</v>
      </c>
      <c r="AT51" s="21">
        <v>4.5623846625183605E-4</v>
      </c>
      <c r="AU51" s="21">
        <v>9.4414772796980022E-4</v>
      </c>
      <c r="AV51" s="21">
        <v>6.6832153433558483E-4</v>
      </c>
      <c r="AW51" s="21">
        <v>8.6634886053037934E-4</v>
      </c>
      <c r="AX51" s="21">
        <v>8.4012414367942343E-4</v>
      </c>
      <c r="AY51" s="21">
        <v>8.7729177399312164E-4</v>
      </c>
      <c r="AZ51" s="21">
        <v>7.5566428148219722E-4</v>
      </c>
      <c r="BA51" s="21">
        <v>9.8562089970616394E-4</v>
      </c>
      <c r="BB51" s="22">
        <v>1.000599541476197</v>
      </c>
    </row>
    <row r="52" spans="1:54">
      <c r="B52" s="83" cm="1">
        <f t="array" ref="B52:W52">TRANSPOSE(AC30:AC51)</f>
        <v>726.05000000000007</v>
      </c>
      <c r="C52" s="83">
        <v>5753.6149633527948</v>
      </c>
      <c r="D52" s="83">
        <v>1025.0311764705882</v>
      </c>
      <c r="E52" s="83">
        <v>6812.7419894677823</v>
      </c>
      <c r="F52" s="83">
        <v>2100.5073743431089</v>
      </c>
      <c r="G52" s="83">
        <v>7353.6400481327937</v>
      </c>
      <c r="H52" s="83">
        <v>2280.5650643772774</v>
      </c>
      <c r="I52" s="83">
        <v>5688.0630606452187</v>
      </c>
      <c r="J52" s="83">
        <v>2396.1999836777486</v>
      </c>
      <c r="K52" s="83">
        <v>473.01778862950925</v>
      </c>
      <c r="L52" s="83">
        <v>164.65119539743012</v>
      </c>
      <c r="M52" s="83">
        <v>1140.9098265105981</v>
      </c>
      <c r="N52" s="83">
        <v>782.46767619044488</v>
      </c>
      <c r="O52" s="83">
        <v>357.94495708620514</v>
      </c>
      <c r="P52" s="83">
        <v>1294.250386666298</v>
      </c>
      <c r="Q52" s="83">
        <v>2033.8220361898968</v>
      </c>
      <c r="R52" s="83">
        <v>1057.3436439892332</v>
      </c>
      <c r="S52" s="83">
        <v>649.3601626036874</v>
      </c>
      <c r="T52" s="83">
        <v>785.08375103274352</v>
      </c>
      <c r="U52" s="83">
        <v>674.96071970258106</v>
      </c>
      <c r="V52" s="83">
        <v>2018.3804303207228</v>
      </c>
      <c r="W52" s="83">
        <v>279.1679797926991</v>
      </c>
      <c r="X52" s="83">
        <f>SUM(X30:X51)</f>
        <v>7710.6565341765227</v>
      </c>
      <c r="Y52" s="45"/>
      <c r="Z52" s="45"/>
      <c r="AA52" s="45">
        <f>SUM(AA30:AA51)</f>
        <v>596.95190884575027</v>
      </c>
      <c r="AB52" s="157">
        <f>SUM(AB30:AB51)</f>
        <v>11563.193550068348</v>
      </c>
      <c r="AC52" s="136">
        <f>SUM(AC30:AC51)</f>
        <v>45847.774214579367</v>
      </c>
      <c r="AD52" s="157">
        <f>SUM(AD30:AD51)</f>
        <v>45847.77421457936</v>
      </c>
    </row>
    <row r="53" spans="1:54">
      <c r="E53" s="3"/>
      <c r="AB53" s="51"/>
      <c r="AC53" s="52" t="b">
        <f>(Raw!AC24-A!AC52)&lt;0.0000001</f>
        <v>1</v>
      </c>
    </row>
    <row r="54" spans="1:54">
      <c r="AC54" s="3"/>
    </row>
    <row r="55" spans="1:54">
      <c r="X55" s="49">
        <v>1</v>
      </c>
      <c r="AC55" s="57"/>
      <c r="AD55" s="57"/>
      <c r="AE55" s="57"/>
      <c r="AF55" s="57"/>
    </row>
    <row r="56" spans="1:54">
      <c r="Y56" s="54"/>
      <c r="AB56" s="57"/>
      <c r="AC56" s="58"/>
      <c r="AD56" s="58"/>
      <c r="AE56" s="58"/>
      <c r="AF56" s="58"/>
    </row>
    <row r="57" spans="1:54">
      <c r="Y57" s="55"/>
      <c r="AB57" s="57"/>
      <c r="AC57" s="59"/>
      <c r="AD57" s="60"/>
      <c r="AE57" s="60"/>
      <c r="AF57" s="58"/>
      <c r="AH57" s="47"/>
    </row>
    <row r="58" spans="1:54">
      <c r="AB58" s="57"/>
      <c r="AC58" s="59"/>
      <c r="AD58" s="60"/>
      <c r="AE58" s="60"/>
      <c r="AF58" s="59"/>
    </row>
    <row r="59" spans="1:54">
      <c r="AB59" s="57"/>
      <c r="AD59" s="60"/>
    </row>
    <row r="60" spans="1:54">
      <c r="AB60" s="57"/>
      <c r="AD60" s="60"/>
      <c r="AE60" s="54"/>
    </row>
    <row r="61" spans="1:54">
      <c r="AB61" s="57"/>
      <c r="AD61" s="61"/>
    </row>
  </sheetData>
  <conditionalFormatting sqref="B2:AA23">
    <cfRule type="cellIs" dxfId="3" priority="6" operator="greaterThan">
      <formula>0</formula>
    </cfRule>
  </conditionalFormatting>
  <conditionalFormatting sqref="B30:AC51">
    <cfRule type="cellIs" dxfId="2" priority="1" operator="greaterThan">
      <formula>0</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B2A23-E802-41DC-986B-44045C163355}">
  <dimension ref="A1:M33"/>
  <sheetViews>
    <sheetView workbookViewId="0">
      <selection activeCell="O28" sqref="O28"/>
    </sheetView>
  </sheetViews>
  <sheetFormatPr defaultColWidth="9.09765625" defaultRowHeight="15.6"/>
  <cols>
    <col min="1" max="1" width="34.3984375" style="590" customWidth="1"/>
    <col min="2" max="8" width="9.09765625" style="590"/>
    <col min="9" max="9" width="21.09765625" style="590" customWidth="1"/>
    <col min="10" max="16384" width="9.09765625" style="590"/>
  </cols>
  <sheetData>
    <row r="1" spans="1:8">
      <c r="B1" s="590" t="s">
        <v>485</v>
      </c>
      <c r="C1" s="590" t="s">
        <v>484</v>
      </c>
      <c r="F1" s="590" t="s">
        <v>483</v>
      </c>
    </row>
    <row r="2" spans="1:8">
      <c r="B2" s="600" t="s">
        <v>482</v>
      </c>
      <c r="D2" s="590" t="s">
        <v>403</v>
      </c>
      <c r="F2" s="590" t="s">
        <v>481</v>
      </c>
      <c r="H2" s="590" t="s">
        <v>480</v>
      </c>
    </row>
    <row r="3" spans="1:8">
      <c r="A3" s="590" t="s">
        <v>479</v>
      </c>
      <c r="B3" s="595">
        <f>10/120*1000</f>
        <v>83.333333333333329</v>
      </c>
      <c r="C3" s="595">
        <f t="shared" ref="C3:C10" si="0">0.5/120*1000</f>
        <v>4.166666666666667</v>
      </c>
      <c r="D3" s="598">
        <f t="shared" ref="D3:D10" si="1">B3+C3</f>
        <v>87.5</v>
      </c>
      <c r="E3" s="599"/>
      <c r="F3" s="593">
        <f>1.3/120*100</f>
        <v>1.0833333333333335</v>
      </c>
      <c r="G3" s="593">
        <v>0.3</v>
      </c>
      <c r="H3" s="593">
        <f t="shared" ref="H3:H12" si="2">F3+G3</f>
        <v>1.3833333333333335</v>
      </c>
    </row>
    <row r="4" spans="1:8">
      <c r="A4" s="590" t="s">
        <v>478</v>
      </c>
      <c r="B4" s="595">
        <f>3.4/120*1000</f>
        <v>28.333333333333332</v>
      </c>
      <c r="C4" s="595">
        <f t="shared" si="0"/>
        <v>4.166666666666667</v>
      </c>
      <c r="D4" s="598">
        <f t="shared" si="1"/>
        <v>32.5</v>
      </c>
      <c r="E4" s="599"/>
      <c r="F4" s="593">
        <f>2.6/120*100</f>
        <v>2.166666666666667</v>
      </c>
      <c r="G4" s="593">
        <v>0.3</v>
      </c>
      <c r="H4" s="593">
        <f t="shared" si="2"/>
        <v>2.4666666666666668</v>
      </c>
    </row>
    <row r="5" spans="1:8">
      <c r="A5" s="590" t="s">
        <v>477</v>
      </c>
      <c r="B5" s="595">
        <f>B4</f>
        <v>28.333333333333332</v>
      </c>
      <c r="C5" s="595">
        <f t="shared" si="0"/>
        <v>4.166666666666667</v>
      </c>
      <c r="D5" s="598">
        <f t="shared" si="1"/>
        <v>32.5</v>
      </c>
      <c r="E5" s="599"/>
      <c r="F5" s="593">
        <f>(2.6-1)/120*100</f>
        <v>1.3333333333333335</v>
      </c>
      <c r="G5" s="593">
        <v>0.3</v>
      </c>
      <c r="H5" s="593">
        <f t="shared" si="2"/>
        <v>1.6333333333333335</v>
      </c>
    </row>
    <row r="6" spans="1:8">
      <c r="A6" s="590" t="s">
        <v>476</v>
      </c>
      <c r="B6" s="595">
        <f>B13/0.6</f>
        <v>193.5185185185185</v>
      </c>
      <c r="C6" s="595">
        <f t="shared" si="0"/>
        <v>4.166666666666667</v>
      </c>
      <c r="D6" s="598">
        <f t="shared" si="1"/>
        <v>197.68518518518516</v>
      </c>
      <c r="E6" s="599"/>
      <c r="F6" s="593">
        <f>4.2/120*100</f>
        <v>3.5000000000000004</v>
      </c>
      <c r="G6" s="593">
        <v>0.3</v>
      </c>
      <c r="H6" s="593">
        <f t="shared" si="2"/>
        <v>3.8000000000000003</v>
      </c>
    </row>
    <row r="7" spans="1:8">
      <c r="A7" s="590" t="s">
        <v>475</v>
      </c>
      <c r="B7" s="595">
        <f>D14*0.6</f>
        <v>3.6666666666666661</v>
      </c>
      <c r="C7" s="595">
        <f t="shared" si="0"/>
        <v>4.166666666666667</v>
      </c>
      <c r="D7" s="598">
        <f t="shared" si="1"/>
        <v>7.833333333333333</v>
      </c>
      <c r="E7" s="599"/>
      <c r="F7" s="593">
        <f>3/120*100</f>
        <v>2.5</v>
      </c>
      <c r="G7" s="593">
        <v>0.3</v>
      </c>
      <c r="H7" s="596">
        <f t="shared" si="2"/>
        <v>2.8</v>
      </c>
    </row>
    <row r="8" spans="1:8">
      <c r="A8" s="590" t="s">
        <v>474</v>
      </c>
      <c r="B8" s="595">
        <f>B7</f>
        <v>3.6666666666666661</v>
      </c>
      <c r="C8" s="595">
        <f t="shared" si="0"/>
        <v>4.166666666666667</v>
      </c>
      <c r="D8" s="598">
        <f t="shared" si="1"/>
        <v>7.833333333333333</v>
      </c>
      <c r="E8" s="599"/>
      <c r="F8" s="593">
        <f>0</f>
        <v>0</v>
      </c>
      <c r="G8" s="593">
        <v>0.3</v>
      </c>
      <c r="H8" s="596">
        <f t="shared" si="2"/>
        <v>0.3</v>
      </c>
    </row>
    <row r="9" spans="1:8">
      <c r="A9" s="590" t="s">
        <v>473</v>
      </c>
      <c r="B9" s="595">
        <f>B8</f>
        <v>3.6666666666666661</v>
      </c>
      <c r="C9" s="595">
        <f t="shared" si="0"/>
        <v>4.166666666666667</v>
      </c>
      <c r="D9" s="598">
        <f t="shared" si="1"/>
        <v>7.833333333333333</v>
      </c>
      <c r="E9" s="599"/>
      <c r="F9" s="593">
        <f>4.2/120*100</f>
        <v>3.5000000000000004</v>
      </c>
      <c r="G9" s="593">
        <v>0.3</v>
      </c>
      <c r="H9" s="593">
        <f t="shared" si="2"/>
        <v>3.8000000000000003</v>
      </c>
    </row>
    <row r="10" spans="1:8">
      <c r="A10" s="590" t="s">
        <v>472</v>
      </c>
      <c r="B10" s="595">
        <f>B9</f>
        <v>3.6666666666666661</v>
      </c>
      <c r="C10" s="595">
        <f t="shared" si="0"/>
        <v>4.166666666666667</v>
      </c>
      <c r="D10" s="598">
        <f t="shared" si="1"/>
        <v>7.833333333333333</v>
      </c>
      <c r="E10" s="599"/>
      <c r="F10" s="593">
        <f>(4.2-3)/120*100</f>
        <v>1.0000000000000002</v>
      </c>
      <c r="G10" s="593">
        <v>0.3</v>
      </c>
      <c r="H10" s="593">
        <f t="shared" si="2"/>
        <v>1.3000000000000003</v>
      </c>
    </row>
    <row r="11" spans="1:8">
      <c r="A11" s="590" t="s">
        <v>471</v>
      </c>
      <c r="B11" s="595">
        <f>D11-C11</f>
        <v>62.1</v>
      </c>
      <c r="C11" s="595">
        <f>D11*0.1</f>
        <v>6.9</v>
      </c>
      <c r="D11" s="594">
        <v>69</v>
      </c>
      <c r="F11" s="593">
        <f>0.004*100</f>
        <v>0.4</v>
      </c>
      <c r="G11" s="593">
        <v>0.01</v>
      </c>
      <c r="H11" s="596">
        <f t="shared" si="2"/>
        <v>0.41000000000000003</v>
      </c>
    </row>
    <row r="12" spans="1:8">
      <c r="A12" s="590" t="s">
        <v>470</v>
      </c>
      <c r="B12" s="595">
        <f>D12-C12</f>
        <v>99.423529411764704</v>
      </c>
      <c r="C12" s="595">
        <f>D12*0.1</f>
        <v>11.047058823529412</v>
      </c>
      <c r="D12" s="598">
        <f>0.0939/0.85*1000</f>
        <v>110.47058823529412</v>
      </c>
      <c r="F12" s="593">
        <f>(0.143+0.1744)/2</f>
        <v>0.15870000000000001</v>
      </c>
      <c r="G12" s="593">
        <v>0.05</v>
      </c>
      <c r="H12" s="593">
        <f t="shared" si="2"/>
        <v>0.2087</v>
      </c>
    </row>
    <row r="13" spans="1:8">
      <c r="A13" s="590" t="s">
        <v>469</v>
      </c>
      <c r="B13" s="597">
        <f>D13-C13</f>
        <v>116.1111111111111</v>
      </c>
      <c r="C13" s="595">
        <f>D13*0.05</f>
        <v>6.1111111111111107</v>
      </c>
      <c r="D13" s="594">
        <f>440/3.6</f>
        <v>122.22222222222221</v>
      </c>
      <c r="F13" s="593">
        <f>H13-G13</f>
        <v>1.2222222222222223</v>
      </c>
      <c r="G13" s="593">
        <f>H13*0.45</f>
        <v>1</v>
      </c>
      <c r="H13" s="596">
        <f>8/3.6</f>
        <v>2.2222222222222223</v>
      </c>
    </row>
    <row r="14" spans="1:8">
      <c r="A14" s="590" t="s">
        <v>468</v>
      </c>
      <c r="B14" s="595">
        <v>0</v>
      </c>
      <c r="C14" s="595">
        <f>C13</f>
        <v>6.1111111111111107</v>
      </c>
      <c r="D14" s="594">
        <f>B14+C14</f>
        <v>6.1111111111111107</v>
      </c>
      <c r="F14" s="593">
        <f>H14-G14</f>
        <v>0.11111111111111116</v>
      </c>
      <c r="G14" s="593">
        <f>G13</f>
        <v>1</v>
      </c>
      <c r="H14" s="596">
        <f>4/3.6</f>
        <v>1.1111111111111112</v>
      </c>
    </row>
    <row r="15" spans="1:8">
      <c r="A15" s="590" t="s">
        <v>467</v>
      </c>
      <c r="B15" s="595">
        <f>0</f>
        <v>0</v>
      </c>
      <c r="C15" s="595">
        <f>C14</f>
        <v>6.1111111111111107</v>
      </c>
      <c r="D15" s="594">
        <f>B15+C15</f>
        <v>6.1111111111111107</v>
      </c>
      <c r="F15" s="593">
        <f>H15-G15</f>
        <v>0.97</v>
      </c>
      <c r="G15" s="593">
        <f>G14</f>
        <v>1</v>
      </c>
      <c r="H15" s="593">
        <v>1.97</v>
      </c>
    </row>
    <row r="16" spans="1:8">
      <c r="A16" s="590" t="s">
        <v>466</v>
      </c>
      <c r="B16" s="592">
        <f>B13/D24</f>
        <v>194.66657011781618</v>
      </c>
      <c r="C16" s="590">
        <v>6.1</v>
      </c>
      <c r="D16" s="618">
        <f>B16+C16</f>
        <v>200.76657011781617</v>
      </c>
    </row>
    <row r="18" spans="2:13">
      <c r="J18" s="590" t="s">
        <v>464</v>
      </c>
    </row>
    <row r="19" spans="2:13">
      <c r="D19" s="604">
        <f>D20*D29</f>
        <v>368.96614411922451</v>
      </c>
      <c r="E19" s="590" t="s">
        <v>488</v>
      </c>
    </row>
    <row r="20" spans="2:13">
      <c r="D20" s="604">
        <f>D16/(D29*D27+D28)</f>
        <v>108.5194541527131</v>
      </c>
      <c r="E20" s="590" t="s">
        <v>489</v>
      </c>
    </row>
    <row r="21" spans="2:13">
      <c r="D21" s="619">
        <f>D16*D24+D14*D25</f>
        <v>122.21559487241063</v>
      </c>
      <c r="E21" s="590" t="s">
        <v>465</v>
      </c>
    </row>
    <row r="22" spans="2:13">
      <c r="D22" s="619">
        <f>D14*D25+D24*(D27*D19+D28*D20)</f>
        <v>122.21559487241065</v>
      </c>
      <c r="E22" s="590" t="s">
        <v>465</v>
      </c>
    </row>
    <row r="23" spans="2:13">
      <c r="I23" s="608" t="s">
        <v>597</v>
      </c>
    </row>
    <row r="24" spans="2:13" ht="26.4">
      <c r="C24" s="590" t="s">
        <v>486</v>
      </c>
      <c r="D24" s="609">
        <f>K25+K26+K27+K29</f>
        <v>0.59646148304168656</v>
      </c>
      <c r="I24" s="727" t="s">
        <v>599</v>
      </c>
      <c r="J24" s="590" t="s">
        <v>598</v>
      </c>
      <c r="K24" s="728" t="s">
        <v>594</v>
      </c>
      <c r="L24" s="728" t="s">
        <v>595</v>
      </c>
      <c r="M24" s="729" t="s">
        <v>596</v>
      </c>
    </row>
    <row r="25" spans="2:13">
      <c r="C25" s="590" t="s">
        <v>463</v>
      </c>
      <c r="D25" s="610">
        <f>K28+K30</f>
        <v>0.40353851695831355</v>
      </c>
      <c r="I25" s="727" t="s">
        <v>590</v>
      </c>
      <c r="J25" s="736">
        <f>D19</f>
        <v>368.96614411922451</v>
      </c>
      <c r="K25" s="731">
        <v>2.5828856509844352E-3</v>
      </c>
      <c r="L25" s="731">
        <v>8.4969935442935553E-4</v>
      </c>
      <c r="M25" s="732">
        <v>0</v>
      </c>
    </row>
    <row r="26" spans="2:13">
      <c r="D26" s="606">
        <f>SUM(D24:D25)</f>
        <v>1</v>
      </c>
      <c r="I26" s="727" t="s">
        <v>591</v>
      </c>
      <c r="J26" s="737">
        <f>D20</f>
        <v>108.5194541527131</v>
      </c>
      <c r="K26" s="730">
        <v>0.38520192891973309</v>
      </c>
      <c r="L26" s="730">
        <v>0.21229777732766086</v>
      </c>
      <c r="M26" s="733">
        <v>0</v>
      </c>
    </row>
    <row r="27" spans="2:13">
      <c r="B27" s="590" t="s">
        <v>492</v>
      </c>
      <c r="D27" s="605">
        <f>E27/D24</f>
        <v>0.35418809114818989</v>
      </c>
      <c r="E27" s="607">
        <f>K25+K27+K29</f>
        <v>0.21125955412195338</v>
      </c>
      <c r="I27" s="727" t="s">
        <v>470</v>
      </c>
      <c r="J27" s="737">
        <f>D19</f>
        <v>368.96614411922451</v>
      </c>
      <c r="K27" s="730">
        <v>0.20597264516529445</v>
      </c>
      <c r="L27" s="730">
        <v>5.0468503260178862E-2</v>
      </c>
      <c r="M27" s="733">
        <v>0</v>
      </c>
    </row>
    <row r="28" spans="2:13">
      <c r="B28" s="590" t="s">
        <v>487</v>
      </c>
      <c r="D28" s="605">
        <f>E28/D24</f>
        <v>0.64581190885181006</v>
      </c>
      <c r="E28" s="607">
        <f>D24-E27</f>
        <v>0.38520192891973315</v>
      </c>
      <c r="I28" s="727" t="s">
        <v>592</v>
      </c>
      <c r="J28" s="737">
        <f>D15</f>
        <v>6.1111111111111107</v>
      </c>
      <c r="K28" s="730">
        <v>0.18881097505278019</v>
      </c>
      <c r="L28" s="730">
        <v>0.12553779576030991</v>
      </c>
      <c r="M28" s="733">
        <v>0.12</v>
      </c>
    </row>
    <row r="29" spans="2:13">
      <c r="B29" s="590" t="s">
        <v>490</v>
      </c>
      <c r="D29" s="591">
        <v>3.4</v>
      </c>
      <c r="I29" s="727" t="s">
        <v>491</v>
      </c>
      <c r="J29" s="737">
        <f>D19</f>
        <v>368.96614411922451</v>
      </c>
      <c r="K29" s="730">
        <v>2.704023305674489E-3</v>
      </c>
      <c r="L29" s="730">
        <v>2.2130644504038724E-3</v>
      </c>
      <c r="M29" s="733">
        <v>0.04</v>
      </c>
    </row>
    <row r="30" spans="2:13">
      <c r="I30" s="727" t="s">
        <v>593</v>
      </c>
      <c r="J30" s="738">
        <f>D14</f>
        <v>6.1111111111111107</v>
      </c>
      <c r="K30" s="734">
        <v>0.21472754190553334</v>
      </c>
      <c r="L30" s="734">
        <v>0.60863315984701705</v>
      </c>
      <c r="M30" s="735">
        <v>0.84</v>
      </c>
    </row>
    <row r="31" spans="2:13">
      <c r="K31" s="590">
        <f>SUMPRODUCT($J$25:$J$30,K25:K30)</f>
        <v>122.21559487241063</v>
      </c>
      <c r="L31" s="590">
        <f t="shared" ref="L31:M31" si="3">SUMPRODUCT($J$25:$J$30,L25:L30)</f>
        <v>47.276264396492934</v>
      </c>
      <c r="M31" s="590">
        <f t="shared" si="3"/>
        <v>20.625312431435646</v>
      </c>
    </row>
    <row r="32" spans="2:13">
      <c r="J32" s="590" t="s">
        <v>463</v>
      </c>
      <c r="K32" s="606">
        <f>K30+K28</f>
        <v>0.40353851695831355</v>
      </c>
      <c r="L32" s="606">
        <f t="shared" ref="L32:M32" si="4">L30+L28</f>
        <v>0.73417095560732692</v>
      </c>
      <c r="M32" s="606">
        <f t="shared" si="4"/>
        <v>0.96</v>
      </c>
    </row>
    <row r="33" spans="2:13">
      <c r="B33" s="595"/>
      <c r="J33" s="590" t="s">
        <v>486</v>
      </c>
      <c r="K33" s="606">
        <f>1-K32</f>
        <v>0.59646148304168645</v>
      </c>
      <c r="L33" s="606">
        <f t="shared" ref="L33:M33" si="5">1-L32</f>
        <v>0.26582904439267308</v>
      </c>
      <c r="M33" s="606">
        <f t="shared" si="5"/>
        <v>4.0000000000000036E-2</v>
      </c>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1D55-528D-4801-A939-39F0042985FD}">
  <dimension ref="A1:S14"/>
  <sheetViews>
    <sheetView topLeftCell="B1" workbookViewId="0">
      <selection activeCell="L19" sqref="L19"/>
    </sheetView>
  </sheetViews>
  <sheetFormatPr defaultColWidth="9" defaultRowHeight="15.6"/>
  <cols>
    <col min="9" max="9" width="20.5" customWidth="1"/>
    <col min="10" max="11" width="12.19921875" customWidth="1"/>
  </cols>
  <sheetData>
    <row r="1" spans="1:19">
      <c r="A1" t="s">
        <v>27</v>
      </c>
      <c r="B1" t="s">
        <v>28</v>
      </c>
      <c r="C1" t="s">
        <v>29</v>
      </c>
      <c r="D1" t="s">
        <v>53</v>
      </c>
      <c r="E1" t="s">
        <v>82</v>
      </c>
      <c r="F1" t="s">
        <v>453</v>
      </c>
      <c r="I1" t="s">
        <v>611</v>
      </c>
      <c r="J1" s="270" t="s">
        <v>159</v>
      </c>
      <c r="K1" s="270" t="s">
        <v>614</v>
      </c>
      <c r="L1" s="270" t="s">
        <v>13</v>
      </c>
      <c r="M1" s="270" t="s">
        <v>14</v>
      </c>
      <c r="N1" s="270" t="s">
        <v>15</v>
      </c>
      <c r="O1" s="270" t="s">
        <v>16</v>
      </c>
      <c r="P1" s="270" t="s">
        <v>17</v>
      </c>
      <c r="Q1" s="270" t="s">
        <v>18</v>
      </c>
      <c r="R1" s="270" t="s">
        <v>19</v>
      </c>
      <c r="S1" s="270" t="s">
        <v>20</v>
      </c>
    </row>
    <row r="2" spans="1:19">
      <c r="A2" s="26" t="s">
        <v>7</v>
      </c>
      <c r="B2" s="176" t="s">
        <v>31</v>
      </c>
      <c r="C2" s="176" t="s">
        <v>48</v>
      </c>
      <c r="D2" s="176" t="s">
        <v>56</v>
      </c>
      <c r="E2" s="769">
        <v>5.92</v>
      </c>
      <c r="F2" s="766">
        <v>3.6020558002936856</v>
      </c>
      <c r="J2" s="270" t="s">
        <v>7</v>
      </c>
      <c r="K2" s="695">
        <f t="shared" ref="K2:K8" si="0">E2</f>
        <v>5.92</v>
      </c>
      <c r="L2" s="474">
        <f>downstream!O49</f>
        <v>0.42844239380894705</v>
      </c>
      <c r="M2" s="474">
        <f>downstream!P49</f>
        <v>0.40904974050905529</v>
      </c>
      <c r="N2" s="474">
        <f>downstream!Q49</f>
        <v>0.54510934161001123</v>
      </c>
      <c r="O2" s="474">
        <f>downstream!R49</f>
        <v>0.536505732329567</v>
      </c>
      <c r="P2" s="474">
        <f>downstream!S49</f>
        <v>0.18743530326518168</v>
      </c>
      <c r="Q2" s="474">
        <f>downstream!T49</f>
        <v>0.37863357956809024</v>
      </c>
      <c r="R2" s="474">
        <f>downstream!U49</f>
        <v>1.1871580393959464</v>
      </c>
      <c r="S2" s="445">
        <f>downstream!V49</f>
        <v>9.7359300291681425E-2</v>
      </c>
    </row>
    <row r="3" spans="1:19">
      <c r="A3" s="226" t="s">
        <v>8</v>
      </c>
      <c r="B3" t="s">
        <v>32</v>
      </c>
      <c r="C3" t="s">
        <v>48</v>
      </c>
      <c r="D3" t="s">
        <v>57</v>
      </c>
      <c r="E3" s="770">
        <v>6.7119999999999997</v>
      </c>
      <c r="F3" s="767">
        <v>3.8994922784006767</v>
      </c>
      <c r="J3" s="270" t="s">
        <v>8</v>
      </c>
      <c r="K3" s="696">
        <f t="shared" si="0"/>
        <v>6.7119999999999997</v>
      </c>
      <c r="L3" s="473">
        <f>downstream!O50</f>
        <v>0.65253473721589039</v>
      </c>
      <c r="M3" s="473">
        <f>downstream!P50</f>
        <v>0.11608785931765365</v>
      </c>
      <c r="N3" s="473">
        <f>downstream!Q50</f>
        <v>0.39281303492510183</v>
      </c>
      <c r="O3" s="473">
        <f>downstream!R50</f>
        <v>0.33293043468672728</v>
      </c>
      <c r="P3" s="473">
        <f>downstream!S50</f>
        <v>0.26296893293921009</v>
      </c>
      <c r="Q3" s="473">
        <f>downstream!T50</f>
        <v>0.311542366346376</v>
      </c>
      <c r="R3" s="473">
        <f>downstream!U50</f>
        <v>0</v>
      </c>
      <c r="S3" s="446">
        <f>downstream!V50</f>
        <v>0.11832899573912051</v>
      </c>
    </row>
    <row r="4" spans="1:19">
      <c r="A4" s="226" t="s">
        <v>9</v>
      </c>
      <c r="B4" t="s">
        <v>33</v>
      </c>
      <c r="C4" t="s">
        <v>48</v>
      </c>
      <c r="D4" t="s">
        <v>58</v>
      </c>
      <c r="E4" s="770">
        <v>6.7119999999999997</v>
      </c>
      <c r="F4" s="767">
        <v>3.8994922784006767</v>
      </c>
      <c r="J4" s="270" t="s">
        <v>9</v>
      </c>
      <c r="K4" s="696">
        <f t="shared" si="0"/>
        <v>6.7119999999999997</v>
      </c>
      <c r="L4" s="473">
        <f>downstream!O51</f>
        <v>9.6979684936544207E-3</v>
      </c>
      <c r="M4" s="473">
        <f>downstream!P51</f>
        <v>9.1407763242246976E-4</v>
      </c>
      <c r="N4" s="473">
        <f>downstream!Q51</f>
        <v>6.5004521145997944E-3</v>
      </c>
      <c r="O4" s="473">
        <f>downstream!R51</f>
        <v>3.5342933618548547E-3</v>
      </c>
      <c r="P4" s="473">
        <f>downstream!S51</f>
        <v>0.50747408973587993</v>
      </c>
      <c r="Q4" s="473">
        <f>downstream!T51</f>
        <v>9.2997721297425669E-3</v>
      </c>
      <c r="R4" s="473">
        <f>downstream!U51</f>
        <v>2.3905719681754863E-4</v>
      </c>
      <c r="S4" s="446">
        <f>downstream!V51</f>
        <v>7.4891769455139555E-3</v>
      </c>
    </row>
    <row r="5" spans="1:19">
      <c r="A5" s="226" t="s">
        <v>78</v>
      </c>
      <c r="B5" t="s">
        <v>79</v>
      </c>
      <c r="C5" t="s">
        <v>48</v>
      </c>
      <c r="D5" t="s">
        <v>79</v>
      </c>
      <c r="E5" s="770">
        <v>5.92</v>
      </c>
      <c r="F5" s="767">
        <v>3.6020558002936856</v>
      </c>
      <c r="J5" s="270" t="s">
        <v>78</v>
      </c>
      <c r="K5" s="696">
        <f t="shared" si="0"/>
        <v>5.92</v>
      </c>
      <c r="L5" s="473">
        <f>downstream!O52</f>
        <v>0</v>
      </c>
      <c r="M5" s="473">
        <f>downstream!P52</f>
        <v>1.6681916791710074E-2</v>
      </c>
      <c r="N5" s="473">
        <f>downstream!Q52</f>
        <v>6.5468839154183653E-2</v>
      </c>
      <c r="O5" s="473">
        <f>downstream!R52</f>
        <v>1.2723456102677475E-2</v>
      </c>
      <c r="P5" s="473">
        <f>downstream!S52</f>
        <v>5.5950836795576624E-4</v>
      </c>
      <c r="Q5" s="473">
        <f>downstream!T52</f>
        <v>6.6426943783875481E-3</v>
      </c>
      <c r="R5" s="473">
        <f>downstream!U52</f>
        <v>0</v>
      </c>
      <c r="S5" s="446">
        <f>downstream!V52</f>
        <v>0.16176622202310145</v>
      </c>
    </row>
    <row r="6" spans="1:19">
      <c r="A6" s="226" t="s">
        <v>10</v>
      </c>
      <c r="B6" t="s">
        <v>34</v>
      </c>
      <c r="C6" t="s">
        <v>48</v>
      </c>
      <c r="D6" t="s">
        <v>59</v>
      </c>
      <c r="E6" s="770">
        <v>3.0990000000000002</v>
      </c>
      <c r="F6" s="767">
        <v>2.2999999999999998</v>
      </c>
      <c r="J6" s="270" t="s">
        <v>10</v>
      </c>
      <c r="K6" s="696">
        <f t="shared" si="0"/>
        <v>3.0990000000000002</v>
      </c>
      <c r="L6" s="473">
        <f>downstream!O53</f>
        <v>6.2357670492636285E-3</v>
      </c>
      <c r="M6" s="473">
        <f>downstream!P53</f>
        <v>0.30056851352677644</v>
      </c>
      <c r="N6" s="473">
        <f>downstream!Q53</f>
        <v>9.9153499631746245E-2</v>
      </c>
      <c r="O6" s="473">
        <f>downstream!R53</f>
        <v>0.12195969518549887</v>
      </c>
      <c r="P6" s="473">
        <f>downstream!S53</f>
        <v>6.1279518688236091E-2</v>
      </c>
      <c r="Q6" s="473">
        <f>downstream!T53</f>
        <v>0.1986598485654883</v>
      </c>
      <c r="R6" s="473">
        <f>downstream!U53</f>
        <v>0</v>
      </c>
      <c r="S6" s="446">
        <f>downstream!V53</f>
        <v>0.32210479313620982</v>
      </c>
    </row>
    <row r="7" spans="1:19">
      <c r="A7" s="226" t="s">
        <v>11</v>
      </c>
      <c r="B7" t="s">
        <v>35</v>
      </c>
      <c r="C7" t="s">
        <v>48</v>
      </c>
      <c r="D7" t="s">
        <v>59</v>
      </c>
      <c r="E7" s="770">
        <f>E6</f>
        <v>3.0990000000000002</v>
      </c>
      <c r="F7" s="767">
        <v>2.2999999999999998</v>
      </c>
      <c r="J7" s="270" t="s">
        <v>11</v>
      </c>
      <c r="K7" s="696">
        <f t="shared" si="0"/>
        <v>3.0990000000000002</v>
      </c>
      <c r="L7" s="473">
        <f>downstream!O54</f>
        <v>4.2766623960328685E-3</v>
      </c>
      <c r="M7" s="473">
        <f>downstream!P54</f>
        <v>0.20613824234875092</v>
      </c>
      <c r="N7" s="473">
        <f>downstream!Q54</f>
        <v>6.8002226503990848E-2</v>
      </c>
      <c r="O7" s="473">
        <f>downstream!R54</f>
        <v>8.3643349424518093E-2</v>
      </c>
      <c r="P7" s="473">
        <f>downstream!S54</f>
        <v>4.2027197480367755E-2</v>
      </c>
      <c r="Q7" s="473">
        <f>downstream!T54</f>
        <v>0.13624644686846277</v>
      </c>
      <c r="R7" s="473">
        <f>downstream!U54</f>
        <v>0</v>
      </c>
      <c r="S7" s="446">
        <f>downstream!V54</f>
        <v>0.22090842161113844</v>
      </c>
    </row>
    <row r="8" spans="1:19">
      <c r="A8" s="228" t="s">
        <v>12</v>
      </c>
      <c r="B8" s="195" t="s">
        <v>36</v>
      </c>
      <c r="C8" s="195" t="s">
        <v>48</v>
      </c>
      <c r="D8" s="195" t="s">
        <v>59</v>
      </c>
      <c r="E8" s="771">
        <f>E6</f>
        <v>3.0990000000000002</v>
      </c>
      <c r="F8" s="768">
        <v>2.2999999999999998</v>
      </c>
      <c r="J8" s="270" t="s">
        <v>12</v>
      </c>
      <c r="K8" s="697">
        <f t="shared" si="0"/>
        <v>3.0990000000000002</v>
      </c>
      <c r="L8" s="475">
        <f>downstream!O55</f>
        <v>1.9563871894020435E-3</v>
      </c>
      <c r="M8" s="475">
        <f>downstream!P55</f>
        <v>9.4299287442246485E-2</v>
      </c>
      <c r="N8" s="475">
        <f>downstream!Q55</f>
        <v>3.1108063359556647E-2</v>
      </c>
      <c r="O8" s="475">
        <f>downstream!R55</f>
        <v>3.8263197357968008E-2</v>
      </c>
      <c r="P8" s="475">
        <f>downstream!S55</f>
        <v>1.9225616413708943E-2</v>
      </c>
      <c r="Q8" s="475">
        <f>downstream!T55</f>
        <v>6.2326828393624308E-2</v>
      </c>
      <c r="R8" s="475">
        <f>downstream!U55</f>
        <v>0</v>
      </c>
      <c r="S8" s="447">
        <f>downstream!V55</f>
        <v>0.10105600256685196</v>
      </c>
    </row>
    <row r="9" spans="1:19">
      <c r="J9" s="270" t="s">
        <v>572</v>
      </c>
      <c r="K9" s="270"/>
      <c r="L9" s="777">
        <f>SUM(L2:L8)</f>
        <v>1.1031439161531904</v>
      </c>
      <c r="M9" s="777">
        <f t="shared" ref="M9:S9" si="1">SUM(M2:M8)</f>
        <v>1.1437396375686155</v>
      </c>
      <c r="N9" s="777">
        <f t="shared" si="1"/>
        <v>1.2081554572991902</v>
      </c>
      <c r="O9" s="777">
        <f t="shared" si="1"/>
        <v>1.1295601584488115</v>
      </c>
      <c r="P9" s="777">
        <f t="shared" si="1"/>
        <v>1.0809701668905403</v>
      </c>
      <c r="Q9" s="777">
        <f t="shared" si="1"/>
        <v>1.1033515362501716</v>
      </c>
      <c r="R9" s="777">
        <f t="shared" si="1"/>
        <v>1.187397096592764</v>
      </c>
      <c r="S9" s="777">
        <f t="shared" si="1"/>
        <v>1.0290129123136176</v>
      </c>
    </row>
    <row r="10" spans="1:19">
      <c r="J10" s="270" t="s">
        <v>613</v>
      </c>
      <c r="K10" s="270"/>
      <c r="L10" s="777">
        <f>1/L9</f>
        <v>0.90650003626646747</v>
      </c>
      <c r="M10" s="777">
        <f t="shared" ref="M10:S10" si="2">1/M9</f>
        <v>0.87432486131705633</v>
      </c>
      <c r="N10" s="777">
        <f t="shared" si="2"/>
        <v>0.82770805193851626</v>
      </c>
      <c r="O10" s="777">
        <f t="shared" si="2"/>
        <v>0.88530034679451486</v>
      </c>
      <c r="P10" s="777">
        <f t="shared" si="2"/>
        <v>0.92509491069170335</v>
      </c>
      <c r="Q10" s="777">
        <f t="shared" si="2"/>
        <v>0.90632945815127963</v>
      </c>
      <c r="R10" s="777">
        <f t="shared" si="2"/>
        <v>0.84217824253528994</v>
      </c>
      <c r="S10" s="777">
        <f t="shared" si="2"/>
        <v>0.97180510373928608</v>
      </c>
    </row>
    <row r="11" spans="1:19" ht="16.2" thickBot="1">
      <c r="J11" s="270"/>
      <c r="K11" s="270"/>
      <c r="L11" s="270"/>
      <c r="M11" s="270"/>
      <c r="N11" s="270"/>
      <c r="O11" s="270"/>
      <c r="P11" s="270"/>
      <c r="Q11" s="270"/>
      <c r="R11" s="270"/>
      <c r="S11" s="270"/>
    </row>
    <row r="12" spans="1:19">
      <c r="J12" s="774" t="s">
        <v>306</v>
      </c>
      <c r="L12" s="778">
        <f t="shared" ref="L12:S12" si="3">SUMPRODUCT($E$2:$E$8,L2:L8)</f>
        <v>7.0199257548223626</v>
      </c>
      <c r="M12" s="779">
        <f t="shared" si="3"/>
        <v>5.1681661402712233</v>
      </c>
      <c r="N12" s="779">
        <f t="shared" si="3"/>
        <v>6.909234438780425</v>
      </c>
      <c r="O12" s="779">
        <f t="shared" si="3"/>
        <v>6.2655295340397563</v>
      </c>
      <c r="P12" s="779">
        <f t="shared" si="3"/>
        <v>6.6638705517359647</v>
      </c>
      <c r="Q12" s="779">
        <f t="shared" si="3"/>
        <v>5.6653534259565115</v>
      </c>
      <c r="R12" s="779">
        <f t="shared" si="3"/>
        <v>7.0295801451290423</v>
      </c>
      <c r="S12" s="780">
        <f t="shared" si="3"/>
        <v>4.3744851716194884</v>
      </c>
    </row>
    <row r="13" spans="1:19">
      <c r="J13" s="775" t="s">
        <v>587</v>
      </c>
      <c r="L13" s="781" cm="1">
        <f t="array" ref="L13:S13">TRANSPOSE(Process!S16:S23)</f>
        <v>0.33094317484595709</v>
      </c>
      <c r="M13" s="777">
        <v>0.35069301484612081</v>
      </c>
      <c r="N13" s="777">
        <v>0.37044416911504363</v>
      </c>
      <c r="O13" s="777">
        <v>0.33886804753464345</v>
      </c>
      <c r="P13" s="777">
        <v>0.32429105006716208</v>
      </c>
      <c r="Q13" s="777">
        <v>0.3310054608750515</v>
      </c>
      <c r="R13" s="777">
        <v>1.3344161298782189</v>
      </c>
      <c r="S13" s="782">
        <v>0.30870387369408525</v>
      </c>
    </row>
    <row r="14" spans="1:19" ht="16.2" thickBot="1">
      <c r="J14" s="776" t="s">
        <v>561</v>
      </c>
      <c r="L14" s="783">
        <f>SUM(L12:L13)</f>
        <v>7.3508689296683194</v>
      </c>
      <c r="M14" s="784">
        <f t="shared" ref="M14:S14" si="4">SUM(M12:M13)</f>
        <v>5.5188591551173438</v>
      </c>
      <c r="N14" s="784">
        <f t="shared" si="4"/>
        <v>7.2796786078954687</v>
      </c>
      <c r="O14" s="784">
        <f t="shared" si="4"/>
        <v>6.6043975815743998</v>
      </c>
      <c r="P14" s="784">
        <f t="shared" si="4"/>
        <v>6.9881616018031263</v>
      </c>
      <c r="Q14" s="784">
        <f t="shared" si="4"/>
        <v>5.9963588868315627</v>
      </c>
      <c r="R14" s="784">
        <f t="shared" si="4"/>
        <v>8.3639962750072616</v>
      </c>
      <c r="S14" s="785">
        <f t="shared" si="4"/>
        <v>4.6831890453135738</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248B-CB8A-48A9-9204-18910478641C}">
  <dimension ref="A1:BX95"/>
  <sheetViews>
    <sheetView topLeftCell="BL15" zoomScale="115" zoomScaleNormal="115" workbookViewId="0">
      <selection activeCell="BW23" sqref="BW23"/>
    </sheetView>
  </sheetViews>
  <sheetFormatPr defaultColWidth="9" defaultRowHeight="15.6"/>
  <cols>
    <col min="1" max="26" width="5.69921875" style="272" customWidth="1"/>
    <col min="27" max="27" width="6.69921875" style="272" customWidth="1"/>
    <col min="28" max="28" width="9" style="272"/>
    <col min="29" max="29" width="10.09765625" style="272" customWidth="1"/>
    <col min="30" max="30" width="9" style="272"/>
    <col min="31" max="31" width="33.69921875" style="272" customWidth="1"/>
    <col min="32" max="43" width="9" style="272"/>
    <col min="44" max="44" width="18.19921875" style="272" customWidth="1"/>
    <col min="45" max="45" width="9" style="272"/>
    <col min="46" max="46" width="21.19921875" style="272" customWidth="1"/>
    <col min="47" max="54" width="10.69921875" style="272" customWidth="1"/>
    <col min="55" max="55" width="16.69921875" style="272" customWidth="1"/>
    <col min="56" max="56" width="12.69921875" style="272" customWidth="1"/>
    <col min="57" max="57" width="16.59765625" style="272" customWidth="1"/>
    <col min="58" max="63" width="12.69921875" style="272" customWidth="1"/>
    <col min="64" max="64" width="15.19921875" style="272" customWidth="1"/>
    <col min="65" max="65" width="11.5" style="272" customWidth="1"/>
    <col min="66" max="66" width="11.69921875" style="272" customWidth="1"/>
    <col min="67" max="67" width="10.69921875" style="272" customWidth="1"/>
    <col min="68" max="69" width="9" style="272"/>
    <col min="70" max="70" width="13.5" style="272" customWidth="1"/>
    <col min="71" max="71" width="20.19921875" style="272" customWidth="1"/>
    <col min="72" max="75" width="12.69921875" style="272" customWidth="1"/>
    <col min="76" max="16384" width="9" style="272"/>
  </cols>
  <sheetData>
    <row r="1" spans="1:76" ht="16.2" thickBot="1">
      <c r="A1" s="421"/>
      <c r="B1" s="421" t="s">
        <v>133</v>
      </c>
      <c r="C1" s="421" t="s">
        <v>350</v>
      </c>
      <c r="D1" s="421" t="s">
        <v>2</v>
      </c>
      <c r="E1" s="421" t="s">
        <v>3</v>
      </c>
      <c r="F1" s="421" t="s">
        <v>4</v>
      </c>
      <c r="G1" s="421" t="s">
        <v>5</v>
      </c>
      <c r="H1" s="421" t="s">
        <v>6</v>
      </c>
      <c r="I1" s="421" t="s">
        <v>7</v>
      </c>
      <c r="J1" s="421" t="s">
        <v>8</v>
      </c>
      <c r="K1" s="421" t="s">
        <v>9</v>
      </c>
      <c r="L1" s="421" t="s">
        <v>78</v>
      </c>
      <c r="M1" s="421" t="s">
        <v>10</v>
      </c>
      <c r="N1" s="421" t="s">
        <v>11</v>
      </c>
      <c r="O1" s="421" t="s">
        <v>12</v>
      </c>
      <c r="P1" s="421" t="s">
        <v>13</v>
      </c>
      <c r="Q1" s="421" t="s">
        <v>14</v>
      </c>
      <c r="R1" s="421" t="s">
        <v>15</v>
      </c>
      <c r="S1" s="421" t="s">
        <v>16</v>
      </c>
      <c r="T1" s="421" t="s">
        <v>17</v>
      </c>
      <c r="U1" s="421" t="s">
        <v>18</v>
      </c>
      <c r="V1" s="421" t="s">
        <v>19</v>
      </c>
      <c r="W1" s="421" t="s">
        <v>20</v>
      </c>
      <c r="X1" s="421" t="s">
        <v>21</v>
      </c>
      <c r="Y1" s="421" t="s">
        <v>77</v>
      </c>
      <c r="Z1" s="421" t="s">
        <v>112</v>
      </c>
      <c r="AA1" s="421" t="s">
        <v>135</v>
      </c>
      <c r="AE1" s="409" t="s">
        <v>616</v>
      </c>
      <c r="AF1" s="408" t="s">
        <v>37</v>
      </c>
      <c r="AG1" s="408" t="s">
        <v>154</v>
      </c>
      <c r="AH1" s="408" t="s">
        <v>155</v>
      </c>
      <c r="AI1" s="408" t="s">
        <v>40</v>
      </c>
      <c r="AJ1" s="408" t="s">
        <v>41</v>
      </c>
      <c r="AK1" s="408" t="s">
        <v>42</v>
      </c>
      <c r="AL1" s="408" t="s">
        <v>43</v>
      </c>
      <c r="AM1" s="408" t="s">
        <v>44</v>
      </c>
      <c r="AN1" s="408" t="s">
        <v>77</v>
      </c>
      <c r="AO1" s="408" t="s">
        <v>153</v>
      </c>
      <c r="AQ1" s="401" t="s">
        <v>537</v>
      </c>
      <c r="AR1" s="401" t="s">
        <v>299</v>
      </c>
      <c r="AS1" s="425" t="s">
        <v>159</v>
      </c>
      <c r="AT1" s="425" t="s">
        <v>371</v>
      </c>
      <c r="AU1" s="425" t="s">
        <v>368</v>
      </c>
      <c r="AV1" s="425" t="s">
        <v>373</v>
      </c>
      <c r="AW1" s="425" t="s">
        <v>372</v>
      </c>
      <c r="AX1" s="425" t="s">
        <v>112</v>
      </c>
      <c r="AY1" s="425" t="s">
        <v>160</v>
      </c>
      <c r="AZ1" s="425" t="s">
        <v>136</v>
      </c>
      <c r="BB1" s="401" t="s">
        <v>541</v>
      </c>
      <c r="BC1" s="401" t="s">
        <v>361</v>
      </c>
      <c r="BD1" s="425" t="s">
        <v>159</v>
      </c>
      <c r="BE1" s="485" t="s">
        <v>389</v>
      </c>
      <c r="BF1" s="270" t="s">
        <v>383</v>
      </c>
      <c r="BG1" s="270" t="s">
        <v>180</v>
      </c>
      <c r="BH1" s="270" t="s">
        <v>382</v>
      </c>
      <c r="BK1" s="401" t="s">
        <v>620</v>
      </c>
      <c r="BL1" s="270" t="s">
        <v>407</v>
      </c>
      <c r="BM1" s="270" t="s">
        <v>410</v>
      </c>
      <c r="BN1" s="270" t="s">
        <v>301</v>
      </c>
      <c r="BO1" s="270" t="s">
        <v>302</v>
      </c>
      <c r="BQ1" s="401" t="s">
        <v>552</v>
      </c>
      <c r="BR1" s="691" t="s">
        <v>553</v>
      </c>
      <c r="BS1" s="270" t="s">
        <v>306</v>
      </c>
      <c r="BT1" s="270" t="s">
        <v>301</v>
      </c>
      <c r="BU1" s="270" t="s">
        <v>426</v>
      </c>
      <c r="BV1" s="270"/>
      <c r="BW1" s="270"/>
    </row>
    <row r="2" spans="1:76">
      <c r="A2" s="421" t="s">
        <v>133</v>
      </c>
      <c r="B2" s="422">
        <f>Raw!B2</f>
        <v>0</v>
      </c>
      <c r="C2" s="423">
        <f>Raw!C2</f>
        <v>0</v>
      </c>
      <c r="D2" s="423">
        <f>Raw!D2</f>
        <v>385.41176470588238</v>
      </c>
      <c r="E2" s="423">
        <f>Raw!E2</f>
        <v>0</v>
      </c>
      <c r="F2" s="423">
        <f>Raw!F2</f>
        <v>0</v>
      </c>
      <c r="G2" s="423">
        <f>Raw!G2</f>
        <v>0</v>
      </c>
      <c r="H2" s="423">
        <f>Raw!H2</f>
        <v>0</v>
      </c>
      <c r="I2" s="423">
        <f>Raw!I2</f>
        <v>0</v>
      </c>
      <c r="J2" s="423">
        <f>Raw!J2</f>
        <v>0</v>
      </c>
      <c r="K2" s="423">
        <f>Raw!K2</f>
        <v>0</v>
      </c>
      <c r="L2" s="423">
        <f>Raw!L2</f>
        <v>0</v>
      </c>
      <c r="M2" s="423">
        <f>Raw!M2</f>
        <v>0</v>
      </c>
      <c r="N2" s="423">
        <f>Raw!N2</f>
        <v>0</v>
      </c>
      <c r="O2" s="423">
        <f>Raw!O2</f>
        <v>0</v>
      </c>
      <c r="P2" s="423">
        <f>Raw!P2</f>
        <v>0</v>
      </c>
      <c r="Q2" s="423">
        <f>Raw!Q2</f>
        <v>0</v>
      </c>
      <c r="R2" s="423">
        <f>Raw!R2</f>
        <v>0</v>
      </c>
      <c r="S2" s="423">
        <f>Raw!S2</f>
        <v>0</v>
      </c>
      <c r="T2" s="423">
        <f>Raw!T2</f>
        <v>0</v>
      </c>
      <c r="U2" s="423">
        <f>Raw!U2</f>
        <v>0</v>
      </c>
      <c r="V2" s="423">
        <f>Raw!V2</f>
        <v>0</v>
      </c>
      <c r="W2" s="423">
        <f>Raw!W2</f>
        <v>0</v>
      </c>
      <c r="X2" s="423">
        <f>Raw!X2</f>
        <v>0</v>
      </c>
      <c r="Y2" s="506">
        <f>Raw!Y2+Raw!Z2</f>
        <v>302.8235294117647</v>
      </c>
      <c r="Z2" s="507">
        <f>Raw!AA2</f>
        <v>37.814705882353017</v>
      </c>
      <c r="AA2" s="508">
        <f t="shared" ref="AA2:AA23" si="0">SUM(B2:Z2)</f>
        <v>726.05000000000007</v>
      </c>
      <c r="AD2" s="272">
        <v>0.453592</v>
      </c>
      <c r="AE2" s="408" t="s">
        <v>152</v>
      </c>
      <c r="AF2" s="638">
        <f>Raw!P32*$AD$2</f>
        <v>561.09330399999999</v>
      </c>
      <c r="AG2" s="639">
        <f>Raw!Q32*$AD$2</f>
        <v>811.92967999999996</v>
      </c>
      <c r="AH2" s="639">
        <f>Raw!R32*$AD$2</f>
        <v>532.51700800000003</v>
      </c>
      <c r="AI2" s="639">
        <f>Raw!S32*$AD$2</f>
        <v>344.27632799999998</v>
      </c>
      <c r="AJ2" s="639">
        <f>Raw!T32*$AD$2</f>
        <v>151.95331999999999</v>
      </c>
      <c r="AK2" s="639">
        <f>Raw!U32*$AD$2</f>
        <v>258.54743999999999</v>
      </c>
      <c r="AL2" s="639">
        <f>Raw!V32*$AD$2</f>
        <v>2252.5378719999999</v>
      </c>
      <c r="AM2" s="639">
        <f>Raw!W32*$AD$2</f>
        <v>29.48348</v>
      </c>
      <c r="AN2" s="639">
        <f>Raw!Y32*$AD$2</f>
        <v>286.67014399999999</v>
      </c>
      <c r="AO2" s="640">
        <f>SUM(AF2:AN2)</f>
        <v>5229.0085759999993</v>
      </c>
      <c r="AS2" s="425" t="s">
        <v>7</v>
      </c>
      <c r="AT2" s="425" t="s">
        <v>31</v>
      </c>
      <c r="AU2" s="680">
        <f>Process!Q9</f>
        <v>0.70767999999999998</v>
      </c>
      <c r="AV2" s="427">
        <f t="shared" ref="AV2:AV8" si="1">AO15</f>
        <v>4025.3284667574076</v>
      </c>
      <c r="AW2" s="427">
        <f>Raw!AF9</f>
        <v>1662.7345938878102</v>
      </c>
      <c r="AX2" s="427">
        <f>Raw!AA9</f>
        <v>0</v>
      </c>
      <c r="AY2" s="428">
        <f t="shared" ref="AY2:AY9" si="2">SUM(AV2:AX2)</f>
        <v>5688.0630606452178</v>
      </c>
      <c r="AZ2" s="426">
        <f>Raw!AC9</f>
        <v>5688.0630606452178</v>
      </c>
      <c r="BD2" s="425" t="s">
        <v>7</v>
      </c>
      <c r="BE2" s="425" t="s">
        <v>31</v>
      </c>
      <c r="BF2" s="476">
        <f>upstream!M13</f>
        <v>8.1779999999999992E-2</v>
      </c>
      <c r="BG2" s="474">
        <f>upstream!O13</f>
        <v>0.20519999999999999</v>
      </c>
      <c r="BH2" s="445">
        <f>BF2+BG2</f>
        <v>0.28698000000000001</v>
      </c>
      <c r="BI2" s="473">
        <f>BJ11/BF11</f>
        <v>0.28697999999999996</v>
      </c>
      <c r="BJ2" s="472"/>
      <c r="BL2" s="270"/>
      <c r="BM2" s="270" t="s">
        <v>408</v>
      </c>
      <c r="BN2" s="266">
        <f>upstream!F8</f>
        <v>715.8065484083844</v>
      </c>
      <c r="BO2" s="329">
        <f t="shared" ref="BO2:BO8" si="3">BN2/$BN$8</f>
        <v>0.69832661175542643</v>
      </c>
      <c r="BR2" s="270"/>
      <c r="BS2" s="270" t="s">
        <v>427</v>
      </c>
      <c r="BT2" s="266">
        <f>upstream!W12</f>
        <v>3174.7809560925325</v>
      </c>
      <c r="BU2" s="329">
        <f t="shared" ref="BU2:BU7" si="4">BT2/$BT$7</f>
        <v>0.46600633944461917</v>
      </c>
      <c r="BV2" s="270"/>
    </row>
    <row r="3" spans="1:76">
      <c r="A3" s="421" t="s">
        <v>350</v>
      </c>
      <c r="B3" s="424">
        <f>Raw!B3</f>
        <v>0</v>
      </c>
      <c r="C3" s="65">
        <f>Raw!C3</f>
        <v>0</v>
      </c>
      <c r="D3" s="65">
        <f>Raw!D3</f>
        <v>0</v>
      </c>
      <c r="E3" s="65">
        <f>Raw!E3</f>
        <v>2220.9309612506368</v>
      </c>
      <c r="F3" s="65">
        <f>Raw!F3</f>
        <v>1638.0024244678445</v>
      </c>
      <c r="G3" s="65">
        <f>Raw!G3</f>
        <v>0</v>
      </c>
      <c r="H3" s="65">
        <f>Raw!H3</f>
        <v>0</v>
      </c>
      <c r="I3" s="65">
        <f>Raw!I3</f>
        <v>0</v>
      </c>
      <c r="J3" s="65">
        <f>Raw!J3</f>
        <v>0</v>
      </c>
      <c r="K3" s="65">
        <f>Raw!K3</f>
        <v>0</v>
      </c>
      <c r="L3" s="65">
        <f>Raw!L3</f>
        <v>0</v>
      </c>
      <c r="M3" s="65">
        <f>Raw!M3</f>
        <v>0</v>
      </c>
      <c r="N3" s="65">
        <f>Raw!N3</f>
        <v>0</v>
      </c>
      <c r="O3" s="65">
        <f>Raw!O3</f>
        <v>0</v>
      </c>
      <c r="P3" s="65">
        <f>Raw!P3</f>
        <v>0</v>
      </c>
      <c r="Q3" s="65">
        <f>Raw!Q3</f>
        <v>0</v>
      </c>
      <c r="R3" s="65">
        <f>Raw!R3</f>
        <v>0</v>
      </c>
      <c r="S3" s="65">
        <f>Raw!S3</f>
        <v>0</v>
      </c>
      <c r="T3" s="65">
        <f>Raw!T3</f>
        <v>0</v>
      </c>
      <c r="U3" s="65">
        <f>Raw!U3</f>
        <v>0</v>
      </c>
      <c r="V3" s="65">
        <f>Raw!V3</f>
        <v>0</v>
      </c>
      <c r="W3" s="65">
        <f>Raw!W3</f>
        <v>0</v>
      </c>
      <c r="X3" s="65">
        <f>Raw!X3</f>
        <v>0</v>
      </c>
      <c r="Y3" s="509">
        <f>Raw!Y3+Raw!Z3</f>
        <v>1894.6815776343117</v>
      </c>
      <c r="Z3" s="66">
        <f>Raw!AA3</f>
        <v>0</v>
      </c>
      <c r="AA3" s="67">
        <f t="shared" si="0"/>
        <v>5753.614963352793</v>
      </c>
      <c r="AE3" s="408" t="s">
        <v>57</v>
      </c>
      <c r="AF3" s="641">
        <f>Raw!P33*$AD$2</f>
        <v>854.56732799999997</v>
      </c>
      <c r="AG3" s="642">
        <f>Raw!Q33*$AD$2</f>
        <v>230.424736</v>
      </c>
      <c r="AH3" s="642">
        <f>Raw!R33*$AD$2</f>
        <v>383.738832</v>
      </c>
      <c r="AI3" s="642">
        <f>Raw!S33*$AD$2</f>
        <v>213.64183199999999</v>
      </c>
      <c r="AJ3" s="642">
        <f>Raw!T33*$AD$2</f>
        <v>213.18824000000001</v>
      </c>
      <c r="AK3" s="642">
        <f>Raw!U33*$AD$2</f>
        <v>212.73464799999999</v>
      </c>
      <c r="AL3" s="642">
        <f>Raw!V33*$AD$2</f>
        <v>0</v>
      </c>
      <c r="AM3" s="642">
        <f>Raw!W33*$AD$2</f>
        <v>35.833767999999999</v>
      </c>
      <c r="AN3" s="642">
        <f>Raw!Y33*$AD$2</f>
        <v>158.75720000000001</v>
      </c>
      <c r="AO3" s="643">
        <f t="shared" ref="AO3:AO8" si="5">SUM(AF3:AN3)</f>
        <v>2302.8865839999999</v>
      </c>
      <c r="AS3" s="425" t="s">
        <v>8</v>
      </c>
      <c r="AT3" s="425" t="s">
        <v>32</v>
      </c>
      <c r="AU3" s="681">
        <f>Process!Q10</f>
        <v>0.73855000000000004</v>
      </c>
      <c r="AV3" s="458">
        <f t="shared" si="1"/>
        <v>1769.7134979452012</v>
      </c>
      <c r="AW3" s="458">
        <f>Raw!AF10</f>
        <v>626.48648573254741</v>
      </c>
      <c r="AX3" s="458">
        <f>Raw!AA10</f>
        <v>0</v>
      </c>
      <c r="AY3" s="429">
        <f t="shared" si="2"/>
        <v>2396.1999836777486</v>
      </c>
      <c r="AZ3" s="426">
        <f>Raw!AC10</f>
        <v>2396.1999836777486</v>
      </c>
      <c r="BD3" s="425" t="s">
        <v>8</v>
      </c>
      <c r="BE3" s="425" t="s">
        <v>32</v>
      </c>
      <c r="BF3" s="477">
        <f>upstream!M14</f>
        <v>0.19570707070707069</v>
      </c>
      <c r="BG3" s="473">
        <f>upstream!O14</f>
        <v>0.1677929292929293</v>
      </c>
      <c r="BH3" s="446">
        <f t="shared" ref="BH3:BH8" si="6">BF3+BG3</f>
        <v>0.36349999999999999</v>
      </c>
      <c r="BI3" s="473">
        <f>BJ12/BF12</f>
        <v>0.36349999999999999</v>
      </c>
      <c r="BL3" s="270"/>
      <c r="BM3" s="270" t="s">
        <v>409</v>
      </c>
      <c r="BN3" s="435">
        <f>upstream!G8</f>
        <v>231.48744370607545</v>
      </c>
      <c r="BO3" s="330">
        <f t="shared" si="3"/>
        <v>0.22583453949482643</v>
      </c>
      <c r="BS3" s="270" t="s">
        <v>428</v>
      </c>
      <c r="BT3" s="267">
        <f>upstream!W13</f>
        <v>1091.8432988011664</v>
      </c>
      <c r="BU3" s="330">
        <f t="shared" si="4"/>
        <v>0.16026488313943363</v>
      </c>
      <c r="BV3" s="270"/>
    </row>
    <row r="4" spans="1:76">
      <c r="A4" s="421" t="s">
        <v>2</v>
      </c>
      <c r="B4" s="424">
        <f>Raw!B4</f>
        <v>0</v>
      </c>
      <c r="C4" s="65">
        <f>Raw!C4</f>
        <v>0</v>
      </c>
      <c r="D4" s="65">
        <f>Raw!D4</f>
        <v>0</v>
      </c>
      <c r="E4" s="65">
        <f>Raw!E4</f>
        <v>31.353003942770073</v>
      </c>
      <c r="F4" s="65">
        <f>Raw!F4</f>
        <v>31.353003942770073</v>
      </c>
      <c r="G4" s="65">
        <f>Raw!G4</f>
        <v>715.8065484083844</v>
      </c>
      <c r="H4" s="65">
        <f>Raw!H4</f>
        <v>231.48744370607545</v>
      </c>
      <c r="I4" s="65">
        <f>Raw!I4</f>
        <v>0</v>
      </c>
      <c r="J4" s="65">
        <f>Raw!J4</f>
        <v>0</v>
      </c>
      <c r="K4" s="65">
        <f>Raw!K4</f>
        <v>0</v>
      </c>
      <c r="L4" s="65">
        <f>Raw!L4</f>
        <v>0</v>
      </c>
      <c r="M4" s="65">
        <f>Raw!M4</f>
        <v>0</v>
      </c>
      <c r="N4" s="65">
        <f>Raw!N4</f>
        <v>0</v>
      </c>
      <c r="O4" s="65">
        <f>Raw!O4</f>
        <v>0</v>
      </c>
      <c r="P4" s="65">
        <f>Raw!P4</f>
        <v>0</v>
      </c>
      <c r="Q4" s="65">
        <f>Raw!Q4</f>
        <v>0</v>
      </c>
      <c r="R4" s="65">
        <f>Raw!R4</f>
        <v>0</v>
      </c>
      <c r="S4" s="65">
        <f>Raw!S4</f>
        <v>0</v>
      </c>
      <c r="T4" s="65">
        <f>Raw!T4</f>
        <v>0</v>
      </c>
      <c r="U4" s="65">
        <f>Raw!U4</f>
        <v>0</v>
      </c>
      <c r="V4" s="65">
        <f>Raw!V4</f>
        <v>0</v>
      </c>
      <c r="W4" s="65">
        <f>Raw!W4</f>
        <v>0</v>
      </c>
      <c r="X4" s="65">
        <f>Raw!X4</f>
        <v>0</v>
      </c>
      <c r="Y4" s="509">
        <f>Raw!Y4+Raw!Z4</f>
        <v>0</v>
      </c>
      <c r="Z4" s="66">
        <f>Raw!AA4</f>
        <v>15.031176470588207</v>
      </c>
      <c r="AA4" s="67">
        <f t="shared" si="0"/>
        <v>1025.0311764705882</v>
      </c>
      <c r="AE4" s="408" t="s">
        <v>113</v>
      </c>
      <c r="AF4" s="641">
        <f>Raw!P34*$AD$2</f>
        <v>12.700576</v>
      </c>
      <c r="AG4" s="642">
        <f>Raw!Q34*$AD$2</f>
        <v>1.814368</v>
      </c>
      <c r="AH4" s="642">
        <f>Raw!R34*$AD$2</f>
        <v>6.3502879999999999</v>
      </c>
      <c r="AI4" s="642">
        <f>Raw!S34*$AD$2</f>
        <v>2.26796</v>
      </c>
      <c r="AJ4" s="642">
        <f>Raw!T34*$AD$2</f>
        <v>411.40794399999999</v>
      </c>
      <c r="AK4" s="642">
        <f>Raw!U34*$AD$2</f>
        <v>6.3502879999999999</v>
      </c>
      <c r="AL4" s="642">
        <f>Raw!V34*$AD$2</f>
        <v>0.453592</v>
      </c>
      <c r="AM4" s="642">
        <f>Raw!W34*$AD$2</f>
        <v>2.26796</v>
      </c>
      <c r="AN4" s="642">
        <f>Raw!Y34*$AD$2</f>
        <v>8.1646560000000008</v>
      </c>
      <c r="AO4" s="643">
        <f t="shared" si="5"/>
        <v>451.77763199999998</v>
      </c>
      <c r="AS4" s="425" t="s">
        <v>9</v>
      </c>
      <c r="AT4" s="425" t="s">
        <v>146</v>
      </c>
      <c r="AU4" s="681">
        <f>Process!Q11</f>
        <v>0.73855000000000004</v>
      </c>
      <c r="AV4" s="458">
        <f t="shared" si="1"/>
        <v>349.34728779232398</v>
      </c>
      <c r="AW4" s="458">
        <f>Raw!AF11</f>
        <v>123.67050083718516</v>
      </c>
      <c r="AX4" s="458">
        <f>Raw!AA11</f>
        <v>0</v>
      </c>
      <c r="AY4" s="429">
        <f t="shared" si="2"/>
        <v>473.01778862950914</v>
      </c>
      <c r="AZ4" s="426">
        <f>Raw!AC11</f>
        <v>473.01778862950914</v>
      </c>
      <c r="BD4" s="425" t="s">
        <v>9</v>
      </c>
      <c r="BE4" s="425" t="s">
        <v>146</v>
      </c>
      <c r="BF4" s="477">
        <f>upstream!M15</f>
        <v>0.19600000000000001</v>
      </c>
      <c r="BG4" s="473">
        <f>upstream!O15</f>
        <v>0.1677929292929293</v>
      </c>
      <c r="BH4" s="446">
        <f t="shared" si="6"/>
        <v>0.36379292929292928</v>
      </c>
      <c r="BI4" s="473">
        <f>BJ13/BF13</f>
        <v>0.36379292929292933</v>
      </c>
      <c r="BL4" s="270"/>
      <c r="BM4" s="270" t="s">
        <v>401</v>
      </c>
      <c r="BN4" s="267">
        <f>upstream!H8</f>
        <v>31.353003942770073</v>
      </c>
      <c r="BO4" s="330">
        <f t="shared" si="3"/>
        <v>3.0587366182095538E-2</v>
      </c>
      <c r="BS4" s="270" t="s">
        <v>555</v>
      </c>
      <c r="BT4" s="266">
        <f>SUM(BT2:BT3)</f>
        <v>4266.6242548936989</v>
      </c>
      <c r="BU4" s="329">
        <f t="shared" si="4"/>
        <v>0.62627122258405277</v>
      </c>
      <c r="BV4" s="270" t="s">
        <v>423</v>
      </c>
      <c r="BW4" s="272" t="s">
        <v>316</v>
      </c>
    </row>
    <row r="5" spans="1:76">
      <c r="A5" s="421" t="s">
        <v>3</v>
      </c>
      <c r="B5" s="424">
        <f>Raw!B5</f>
        <v>0</v>
      </c>
      <c r="C5" s="65">
        <f>Raw!C5</f>
        <v>0</v>
      </c>
      <c r="D5" s="65">
        <f>Raw!D5</f>
        <v>0</v>
      </c>
      <c r="E5" s="65">
        <f>Raw!E5</f>
        <v>0</v>
      </c>
      <c r="F5" s="65">
        <f>Raw!F5</f>
        <v>0</v>
      </c>
      <c r="G5" s="65">
        <f>Raw!G5</f>
        <v>6472.1048899943908</v>
      </c>
      <c r="H5" s="65">
        <f>Raw!H5</f>
        <v>0</v>
      </c>
      <c r="I5" s="65">
        <f>Raw!I5</f>
        <v>0</v>
      </c>
      <c r="J5" s="65">
        <f>Raw!J5</f>
        <v>0</v>
      </c>
      <c r="K5" s="65">
        <f>Raw!K5</f>
        <v>0</v>
      </c>
      <c r="L5" s="65">
        <f>Raw!L5</f>
        <v>0</v>
      </c>
      <c r="M5" s="65">
        <f>Raw!M5</f>
        <v>0</v>
      </c>
      <c r="N5" s="65">
        <f>Raw!N5</f>
        <v>0</v>
      </c>
      <c r="O5" s="65">
        <f>Raw!O5</f>
        <v>0</v>
      </c>
      <c r="P5" s="65">
        <f>Raw!P5</f>
        <v>0</v>
      </c>
      <c r="Q5" s="65">
        <f>Raw!Q5</f>
        <v>0</v>
      </c>
      <c r="R5" s="65">
        <f>Raw!R5</f>
        <v>0</v>
      </c>
      <c r="S5" s="65">
        <f>Raw!S5</f>
        <v>0</v>
      </c>
      <c r="T5" s="65">
        <f>Raw!T5</f>
        <v>0</v>
      </c>
      <c r="U5" s="65">
        <f>Raw!U5</f>
        <v>0</v>
      </c>
      <c r="V5" s="65">
        <f>Raw!V5</f>
        <v>0</v>
      </c>
      <c r="W5" s="65">
        <f>Raw!W5</f>
        <v>0</v>
      </c>
      <c r="X5" s="65">
        <f>Raw!X5</f>
        <v>0</v>
      </c>
      <c r="Y5" s="509">
        <f>Raw!Y5+Raw!Z5</f>
        <v>0</v>
      </c>
      <c r="Z5" s="66">
        <f>Raw!AA5</f>
        <v>340.63709947338975</v>
      </c>
      <c r="AA5" s="67">
        <f t="shared" si="0"/>
        <v>6812.7419894677805</v>
      </c>
      <c r="AE5" s="408" t="s">
        <v>353</v>
      </c>
      <c r="AF5" s="641">
        <f>Raw!P35*$AD$2</f>
        <v>0</v>
      </c>
      <c r="AG5" s="642">
        <f>Raw!Q35*$AD$2</f>
        <v>33.112215999999997</v>
      </c>
      <c r="AH5" s="642">
        <f>Raw!R35*$AD$2</f>
        <v>63.956471999999998</v>
      </c>
      <c r="AI5" s="642">
        <f>Raw!S35*$AD$2</f>
        <v>8.1646560000000008</v>
      </c>
      <c r="AJ5" s="642">
        <f>Raw!T35*$AD$2</f>
        <v>0.453592</v>
      </c>
      <c r="AK5" s="642">
        <f>Raw!U35*$AD$2</f>
        <v>4.53592</v>
      </c>
      <c r="AL5" s="642">
        <f>Raw!V35*$AD$2</f>
        <v>0</v>
      </c>
      <c r="AM5" s="642">
        <f>Raw!W35*$AD$2</f>
        <v>48.987935999999998</v>
      </c>
      <c r="AN5" s="642">
        <f>Raw!Y35*$AD$2</f>
        <v>12.246983999999999</v>
      </c>
      <c r="AO5" s="643">
        <f t="shared" si="5"/>
        <v>171.457776</v>
      </c>
      <c r="AS5" s="425" t="s">
        <v>78</v>
      </c>
      <c r="AT5" s="425" t="s">
        <v>147</v>
      </c>
      <c r="AU5" s="681">
        <f>Process!Q12</f>
        <v>0.8</v>
      </c>
      <c r="AV5" s="458">
        <f t="shared" si="1"/>
        <v>131.72095631794411</v>
      </c>
      <c r="AW5" s="458">
        <f>Raw!AF12</f>
        <v>32.930239079486029</v>
      </c>
      <c r="AX5" s="458">
        <f>Raw!AA12</f>
        <v>0</v>
      </c>
      <c r="AY5" s="429">
        <f t="shared" si="2"/>
        <v>164.65119539743014</v>
      </c>
      <c r="AZ5" s="426">
        <f>Raw!AC12</f>
        <v>164.65119539743014</v>
      </c>
      <c r="BD5" s="425" t="s">
        <v>78</v>
      </c>
      <c r="BE5" s="425" t="s">
        <v>147</v>
      </c>
      <c r="BF5" s="477">
        <f>upstream!M16</f>
        <v>0.19600000000000001</v>
      </c>
      <c r="BG5" s="473">
        <f>upstream!O16</f>
        <v>0.1677929292929293</v>
      </c>
      <c r="BH5" s="446">
        <f t="shared" si="6"/>
        <v>0.36379292929292928</v>
      </c>
      <c r="BI5" s="473">
        <f>BJ14/BF14</f>
        <v>0.36379292929292928</v>
      </c>
      <c r="BL5" s="270"/>
      <c r="BM5" s="270" t="s">
        <v>402</v>
      </c>
      <c r="BN5" s="268">
        <f>upstream!I8</f>
        <v>31.353003942770073</v>
      </c>
      <c r="BO5" s="331">
        <f t="shared" si="3"/>
        <v>3.0587366182095538E-2</v>
      </c>
      <c r="BR5" s="270"/>
      <c r="BS5" s="270" t="s">
        <v>556</v>
      </c>
      <c r="BT5" s="267">
        <f>upstream!W2</f>
        <v>1129.0876624494701</v>
      </c>
      <c r="BU5" s="330">
        <f t="shared" si="4"/>
        <v>0.16573175150255115</v>
      </c>
      <c r="BV5" s="270" t="s">
        <v>424</v>
      </c>
      <c r="BW5" s="272" t="s">
        <v>308</v>
      </c>
    </row>
    <row r="6" spans="1:76">
      <c r="A6" s="421" t="s">
        <v>4</v>
      </c>
      <c r="B6" s="424">
        <f>Raw!B6</f>
        <v>0</v>
      </c>
      <c r="C6" s="65">
        <f>Raw!C6</f>
        <v>0</v>
      </c>
      <c r="D6" s="65">
        <f>Raw!D6</f>
        <v>0</v>
      </c>
      <c r="E6" s="65">
        <f>Raw!E6</f>
        <v>0</v>
      </c>
      <c r="F6" s="65">
        <f>Raw!F6</f>
        <v>0</v>
      </c>
      <c r="G6" s="65">
        <f>Raw!G6</f>
        <v>0</v>
      </c>
      <c r="H6" s="65">
        <f>Raw!H6</f>
        <v>1995.4820056259532</v>
      </c>
      <c r="I6" s="65">
        <f>Raw!I6</f>
        <v>0</v>
      </c>
      <c r="J6" s="65">
        <f>Raw!J6</f>
        <v>0</v>
      </c>
      <c r="K6" s="65">
        <f>Raw!K6</f>
        <v>0</v>
      </c>
      <c r="L6" s="65">
        <f>Raw!L6</f>
        <v>0</v>
      </c>
      <c r="M6" s="65">
        <f>Raw!M6</f>
        <v>0</v>
      </c>
      <c r="N6" s="65">
        <f>Raw!N6</f>
        <v>0</v>
      </c>
      <c r="O6" s="65">
        <f>Raw!O6</f>
        <v>0</v>
      </c>
      <c r="P6" s="65">
        <f>Raw!P6</f>
        <v>0</v>
      </c>
      <c r="Q6" s="65">
        <f>Raw!Q6</f>
        <v>0</v>
      </c>
      <c r="R6" s="65">
        <f>Raw!R6</f>
        <v>0</v>
      </c>
      <c r="S6" s="65">
        <f>Raw!S6</f>
        <v>0</v>
      </c>
      <c r="T6" s="65">
        <f>Raw!T6</f>
        <v>0</v>
      </c>
      <c r="U6" s="65">
        <f>Raw!U6</f>
        <v>0</v>
      </c>
      <c r="V6" s="65">
        <f>Raw!V6</f>
        <v>0</v>
      </c>
      <c r="W6" s="65">
        <f>Raw!W6</f>
        <v>0</v>
      </c>
      <c r="X6" s="65">
        <f>Raw!X6</f>
        <v>0</v>
      </c>
      <c r="Y6" s="509">
        <f>Raw!Y6+Raw!Z6</f>
        <v>0</v>
      </c>
      <c r="Z6" s="66">
        <f>Raw!AA6</f>
        <v>105.02536871715529</v>
      </c>
      <c r="AA6" s="67">
        <f t="shared" si="0"/>
        <v>2100.5073743431085</v>
      </c>
      <c r="AE6" s="272" t="s">
        <v>116</v>
      </c>
      <c r="AF6" s="641">
        <f>Raw!P36*$AD$2</f>
        <v>16.329312000000002</v>
      </c>
      <c r="AG6" s="642">
        <f>Raw!Q36*$AD$2</f>
        <v>501.03772320000007</v>
      </c>
      <c r="AH6" s="642">
        <f>Raw!R36*$AD$2</f>
        <v>112.13271705263165</v>
      </c>
      <c r="AI6" s="642">
        <f>Raw!S36*$AD$2</f>
        <v>93.893544000000006</v>
      </c>
      <c r="AJ6" s="642">
        <f>Raw!T36*$AD$2</f>
        <v>59.601988800000001</v>
      </c>
      <c r="AK6" s="642">
        <f>Raw!U36*$AD$2</f>
        <v>162.74880960000002</v>
      </c>
      <c r="AL6" s="642">
        <f>Raw!V36*$AD$2</f>
        <v>0</v>
      </c>
      <c r="AM6" s="642">
        <f>Raw!W36*$AD$2</f>
        <v>117.026736</v>
      </c>
      <c r="AN6" s="642">
        <f>Raw!Y36*$AD$2</f>
        <v>393.80366318313094</v>
      </c>
      <c r="AO6" s="643">
        <f t="shared" si="5"/>
        <v>1456.5744938357627</v>
      </c>
      <c r="AS6" s="425" t="s">
        <v>10</v>
      </c>
      <c r="AT6" s="425" t="s">
        <v>149</v>
      </c>
      <c r="AU6" s="681">
        <f>Raw!AE13/Raw!AC13</f>
        <v>0.95684803001876162</v>
      </c>
      <c r="AV6" s="458">
        <f t="shared" si="1"/>
        <v>1091.6773199257132</v>
      </c>
      <c r="AW6" s="458">
        <v>0</v>
      </c>
      <c r="AX6" s="458">
        <f>Raw!AA13</f>
        <v>49.232506584885122</v>
      </c>
      <c r="AY6" s="429">
        <f t="shared" si="2"/>
        <v>1140.9098265105984</v>
      </c>
      <c r="AZ6" s="426">
        <f>Raw!AC13</f>
        <v>1140.9098265105984</v>
      </c>
      <c r="BD6" s="425" t="s">
        <v>10</v>
      </c>
      <c r="BE6" s="425" t="s">
        <v>149</v>
      </c>
      <c r="BF6" s="477">
        <f>upstream!M23</f>
        <v>0.15</v>
      </c>
      <c r="BG6" s="473">
        <f>upstream!O23</f>
        <v>4.675E-2</v>
      </c>
      <c r="BH6" s="446">
        <f t="shared" si="6"/>
        <v>0.19674999999999998</v>
      </c>
      <c r="BI6" s="473">
        <f>BJ18/BF18</f>
        <v>0.19675000000000001</v>
      </c>
      <c r="BL6" s="270"/>
      <c r="BM6" s="270" t="s">
        <v>382</v>
      </c>
      <c r="BN6" s="498">
        <f>SUM(BN2:BN5)</f>
        <v>1010</v>
      </c>
      <c r="BO6" s="329">
        <f t="shared" si="3"/>
        <v>0.98533588361444391</v>
      </c>
      <c r="BR6" s="270"/>
      <c r="BS6" s="270" t="s">
        <v>557</v>
      </c>
      <c r="BT6" s="268">
        <f>upstream!Y17</f>
        <v>1417.0300721246115</v>
      </c>
      <c r="BU6" s="331">
        <f t="shared" si="4"/>
        <v>0.20799702591339608</v>
      </c>
      <c r="BV6" s="270" t="s">
        <v>425</v>
      </c>
      <c r="BW6" s="272" t="s">
        <v>307</v>
      </c>
    </row>
    <row r="7" spans="1:76">
      <c r="A7" s="421" t="s">
        <v>5</v>
      </c>
      <c r="B7" s="424">
        <f>Raw!B7</f>
        <v>0</v>
      </c>
      <c r="C7" s="65">
        <f>Raw!C7</f>
        <v>0</v>
      </c>
      <c r="D7" s="65">
        <f>Raw!D7</f>
        <v>0</v>
      </c>
      <c r="E7" s="65">
        <f>Raw!E7</f>
        <v>0</v>
      </c>
      <c r="F7" s="65">
        <f>Raw!F7</f>
        <v>0</v>
      </c>
      <c r="G7" s="65">
        <f>Raw!G7</f>
        <v>0</v>
      </c>
      <c r="H7" s="65">
        <f>Raw!H7</f>
        <v>0</v>
      </c>
      <c r="I7" s="65">
        <f>Raw!I7</f>
        <v>4834.8536015484351</v>
      </c>
      <c r="J7" s="65">
        <f>Raw!J7</f>
        <v>1916.9599869421991</v>
      </c>
      <c r="K7" s="65">
        <f>Raw!K7</f>
        <v>378.41423090360735</v>
      </c>
      <c r="L7" s="65">
        <f>Raw!L7</f>
        <v>131.72095631794411</v>
      </c>
      <c r="M7" s="65">
        <f>Raw!M7</f>
        <v>0</v>
      </c>
      <c r="N7" s="65">
        <f>Raw!N7</f>
        <v>0</v>
      </c>
      <c r="O7" s="65">
        <f>Raw!O7</f>
        <v>0</v>
      </c>
      <c r="P7" s="65">
        <f>Raw!P7</f>
        <v>0</v>
      </c>
      <c r="Q7" s="65">
        <f>Raw!Q7</f>
        <v>0</v>
      </c>
      <c r="R7" s="65">
        <f>Raw!R7</f>
        <v>0</v>
      </c>
      <c r="S7" s="65">
        <f>Raw!S7</f>
        <v>0</v>
      </c>
      <c r="T7" s="65">
        <f>Raw!T7</f>
        <v>0</v>
      </c>
      <c r="U7" s="65">
        <f>Raw!U7</f>
        <v>0</v>
      </c>
      <c r="V7" s="65">
        <f>Raw!V7</f>
        <v>0</v>
      </c>
      <c r="W7" s="65">
        <f>Raw!W7</f>
        <v>0</v>
      </c>
      <c r="X7" s="65">
        <f>Raw!X7</f>
        <v>0</v>
      </c>
      <c r="Y7" s="509">
        <f>Raw!Y7+Raw!Z7</f>
        <v>91.691272420608399</v>
      </c>
      <c r="Z7" s="66">
        <f>Raw!AA7</f>
        <v>0</v>
      </c>
      <c r="AA7" s="67">
        <f t="shared" si="0"/>
        <v>7353.6400481327937</v>
      </c>
      <c r="AE7" s="272" t="s">
        <v>156</v>
      </c>
      <c r="AF7" s="641">
        <f>Raw!P37*$AD$2</f>
        <v>0</v>
      </c>
      <c r="AG7" s="642">
        <f>Raw!Q37*$AD$2</f>
        <v>461.27282453333328</v>
      </c>
      <c r="AH7" s="642">
        <f>Raw!R37*$AD$2</f>
        <v>50.969416842105232</v>
      </c>
      <c r="AI7" s="642">
        <f>Raw!S37*$AD$2</f>
        <v>46.946772000000003</v>
      </c>
      <c r="AJ7" s="642">
        <f>Raw!T37*$AD$2</f>
        <v>29.8009944</v>
      </c>
      <c r="AK7" s="642">
        <f>Raw!U37*$AD$2</f>
        <v>81.374404800000008</v>
      </c>
      <c r="AL7" s="642">
        <f>Raw!V37*$AD$2</f>
        <v>0</v>
      </c>
      <c r="AM7" s="642">
        <f>Raw!W37*$AD$2</f>
        <v>58.513368</v>
      </c>
      <c r="AN7" s="642">
        <f>Raw!Y37*$AD$2</f>
        <v>270.08149991013045</v>
      </c>
      <c r="AO7" s="643">
        <f t="shared" si="5"/>
        <v>998.95928048556902</v>
      </c>
      <c r="AS7" s="425" t="s">
        <v>11</v>
      </c>
      <c r="AT7" s="425" t="s">
        <v>305</v>
      </c>
      <c r="AU7" s="681">
        <f>Raw!AE14/Raw!AC14</f>
        <v>0.95684803001876162</v>
      </c>
      <c r="AV7" s="458">
        <f t="shared" si="1"/>
        <v>748.70265451618548</v>
      </c>
      <c r="AW7" s="458">
        <v>0</v>
      </c>
      <c r="AX7" s="458">
        <f>Raw!AA14</f>
        <v>33.765021674259359</v>
      </c>
      <c r="AY7" s="429">
        <f t="shared" si="2"/>
        <v>782.46767619044488</v>
      </c>
      <c r="AZ7" s="426">
        <f>Raw!AC14</f>
        <v>782.46767619044488</v>
      </c>
      <c r="BD7" s="425" t="s">
        <v>11</v>
      </c>
      <c r="BE7" s="425" t="s">
        <v>305</v>
      </c>
      <c r="BF7" s="477">
        <f>upstream!M24</f>
        <v>9.9999999999999992E-2</v>
      </c>
      <c r="BG7" s="473">
        <f>upstream!O24</f>
        <v>4.9500000000000002E-2</v>
      </c>
      <c r="BH7" s="446">
        <f t="shared" si="6"/>
        <v>0.14949999999999999</v>
      </c>
      <c r="BI7" s="473">
        <f>BJ19/BF19</f>
        <v>0.14949999999999999</v>
      </c>
      <c r="BL7" s="270"/>
      <c r="BM7" s="270" t="s">
        <v>112</v>
      </c>
      <c r="BN7" s="268">
        <f>upstream!E9</f>
        <v>15.031176470588207</v>
      </c>
      <c r="BO7" s="331">
        <f t="shared" si="3"/>
        <v>1.4664116385556107E-2</v>
      </c>
      <c r="BR7" s="270"/>
      <c r="BS7" s="270" t="s">
        <v>153</v>
      </c>
      <c r="BT7" s="268">
        <f>SUM(BT4:BT6)</f>
        <v>6812.7419894677805</v>
      </c>
      <c r="BU7" s="331">
        <f t="shared" si="4"/>
        <v>1</v>
      </c>
      <c r="BV7" s="270"/>
      <c r="BW7" s="270"/>
      <c r="BX7" s="270"/>
    </row>
    <row r="8" spans="1:76">
      <c r="A8" s="421" t="s">
        <v>6</v>
      </c>
      <c r="B8" s="424">
        <f>Raw!B8</f>
        <v>0</v>
      </c>
      <c r="C8" s="65">
        <f>Raw!C8</f>
        <v>0</v>
      </c>
      <c r="D8" s="65">
        <f>Raw!D8</f>
        <v>0</v>
      </c>
      <c r="E8" s="65">
        <f>Raw!E8</f>
        <v>0</v>
      </c>
      <c r="F8" s="65">
        <f>Raw!F8</f>
        <v>0</v>
      </c>
      <c r="G8" s="65">
        <f>Raw!G8</f>
        <v>0</v>
      </c>
      <c r="H8" s="65">
        <f>Raw!H8</f>
        <v>0</v>
      </c>
      <c r="I8" s="65">
        <f>Raw!I8</f>
        <v>0</v>
      </c>
      <c r="J8" s="65">
        <f>Raw!J8</f>
        <v>0</v>
      </c>
      <c r="K8" s="65">
        <f>Raw!K8</f>
        <v>0</v>
      </c>
      <c r="L8" s="65">
        <f>Raw!L8</f>
        <v>0</v>
      </c>
      <c r="M8" s="65">
        <f>Raw!M8</f>
        <v>1083.8643351850683</v>
      </c>
      <c r="N8" s="65">
        <f>Raw!N8</f>
        <v>743.34429238092264</v>
      </c>
      <c r="O8" s="65">
        <f>Raw!O8</f>
        <v>340.04770923189494</v>
      </c>
      <c r="P8" s="65">
        <f>Raw!P8</f>
        <v>0</v>
      </c>
      <c r="Q8" s="65">
        <f>Raw!Q8</f>
        <v>0</v>
      </c>
      <c r="R8" s="65">
        <f>Raw!R8</f>
        <v>0</v>
      </c>
      <c r="S8" s="65">
        <f>Raw!S8</f>
        <v>0</v>
      </c>
      <c r="T8" s="65">
        <f>Raw!T8</f>
        <v>0</v>
      </c>
      <c r="U8" s="65">
        <f>Raw!U8</f>
        <v>0</v>
      </c>
      <c r="V8" s="65">
        <f>Raw!V8</f>
        <v>0</v>
      </c>
      <c r="W8" s="65">
        <f>Raw!W8</f>
        <v>0</v>
      </c>
      <c r="X8" s="65">
        <f>Raw!X8</f>
        <v>0</v>
      </c>
      <c r="Y8" s="509">
        <f>Raw!Y8+Raw!Z8</f>
        <v>113.30872757939159</v>
      </c>
      <c r="Z8" s="66">
        <f>Raw!AA8</f>
        <v>0</v>
      </c>
      <c r="AA8" s="67">
        <f t="shared" si="0"/>
        <v>2280.5650643772769</v>
      </c>
      <c r="AE8" s="272" t="s">
        <v>114</v>
      </c>
      <c r="AF8" s="641">
        <f>Raw!P38*$AD$2</f>
        <v>0</v>
      </c>
      <c r="AG8" s="642">
        <f>Raw!Q38*$AD$2</f>
        <v>230.63641226666664</v>
      </c>
      <c r="AH8" s="642">
        <f>Raw!R38*$AD$2</f>
        <v>30.581650105263112</v>
      </c>
      <c r="AI8" s="642">
        <f>Raw!S38*$AD$2</f>
        <v>15.648923999999999</v>
      </c>
      <c r="AJ8" s="642">
        <f>Raw!T38*$AD$2</f>
        <v>9.9336648000000007</v>
      </c>
      <c r="AK8" s="642">
        <f>Raw!U38*$AD$2</f>
        <v>27.124801600000001</v>
      </c>
      <c r="AL8" s="642">
        <f>Raw!V38*$AD$2</f>
        <v>0</v>
      </c>
      <c r="AM8" s="642">
        <f>Raw!W38*$AD$2</f>
        <v>19.504456000000001</v>
      </c>
      <c r="AN8" s="642">
        <f>Raw!Y38*$AD$2</f>
        <v>123.55054890673851</v>
      </c>
      <c r="AO8" s="643">
        <f t="shared" si="5"/>
        <v>456.9804576786683</v>
      </c>
      <c r="AS8" s="425" t="s">
        <v>12</v>
      </c>
      <c r="AT8" s="425" t="s">
        <v>148</v>
      </c>
      <c r="AU8" s="682">
        <f>Raw!AE15/Raw!AC15</f>
        <v>0.95684803001876173</v>
      </c>
      <c r="AV8" s="430">
        <f t="shared" si="1"/>
        <v>342.49892704308564</v>
      </c>
      <c r="AW8" s="430">
        <v>0</v>
      </c>
      <c r="AX8" s="430">
        <f>Raw!AA15</f>
        <v>15.446030043119556</v>
      </c>
      <c r="AY8" s="431">
        <f t="shared" si="2"/>
        <v>357.94495708620519</v>
      </c>
      <c r="AZ8" s="426">
        <f>Raw!AC15</f>
        <v>357.94495708620519</v>
      </c>
      <c r="BC8" s="425"/>
      <c r="BD8" s="425" t="s">
        <v>12</v>
      </c>
      <c r="BE8" s="425" t="s">
        <v>148</v>
      </c>
      <c r="BF8" s="478">
        <f>upstream!M25</f>
        <v>9.9999999999999992E-2</v>
      </c>
      <c r="BG8" s="475">
        <f>upstream!O25</f>
        <v>4.9500000000000002E-2</v>
      </c>
      <c r="BH8" s="447">
        <f t="shared" si="6"/>
        <v>0.14949999999999999</v>
      </c>
      <c r="BI8" s="473">
        <f>BJ20/BF20</f>
        <v>0.14949999999999999</v>
      </c>
      <c r="BL8" s="270"/>
      <c r="BM8" s="270" t="s">
        <v>153</v>
      </c>
      <c r="BN8" s="268">
        <f>BN6+BN7</f>
        <v>1025.0311764705882</v>
      </c>
      <c r="BO8" s="331">
        <f t="shared" si="3"/>
        <v>1</v>
      </c>
      <c r="BR8" s="270"/>
      <c r="BS8" s="270"/>
      <c r="BT8" s="270"/>
      <c r="BU8" s="269"/>
      <c r="BV8" s="270"/>
      <c r="BW8" s="270"/>
    </row>
    <row r="9" spans="1:76">
      <c r="A9" s="421" t="s">
        <v>7</v>
      </c>
      <c r="B9" s="424">
        <f>Raw!B9</f>
        <v>0</v>
      </c>
      <c r="C9" s="65">
        <f>Raw!C9</f>
        <v>0</v>
      </c>
      <c r="D9" s="65">
        <f>Raw!D9</f>
        <v>0</v>
      </c>
      <c r="E9" s="65">
        <f>Raw!E9</f>
        <v>1496.4611344990292</v>
      </c>
      <c r="F9" s="65">
        <f>Raw!F9</f>
        <v>166.27345938878099</v>
      </c>
      <c r="G9" s="65">
        <f>Raw!G9</f>
        <v>0</v>
      </c>
      <c r="H9" s="65">
        <f>Raw!H9</f>
        <v>0</v>
      </c>
      <c r="I9" s="65">
        <f>Raw!I9</f>
        <v>0</v>
      </c>
      <c r="J9" s="65">
        <f>Raw!J9</f>
        <v>0</v>
      </c>
      <c r="K9" s="65">
        <f>Raw!K9</f>
        <v>0</v>
      </c>
      <c r="L9" s="65">
        <f>Raw!L9</f>
        <v>0</v>
      </c>
      <c r="M9" s="65">
        <f>Raw!M9</f>
        <v>0</v>
      </c>
      <c r="N9" s="65">
        <f>Raw!N9</f>
        <v>0</v>
      </c>
      <c r="O9" s="65">
        <f>Raw!O9</f>
        <v>0</v>
      </c>
      <c r="P9" s="65">
        <f>Raw!P9</f>
        <v>434.83429169655932</v>
      </c>
      <c r="Q9" s="65">
        <f>Raw!Q9</f>
        <v>629.22666300472201</v>
      </c>
      <c r="R9" s="65">
        <f>Raw!R9</f>
        <v>412.68832534499654</v>
      </c>
      <c r="S9" s="65">
        <f>Raw!S9</f>
        <v>266.80616604501898</v>
      </c>
      <c r="T9" s="65">
        <f>Raw!T9</f>
        <v>117.76029726624687</v>
      </c>
      <c r="U9" s="65">
        <f>Raw!U9</f>
        <v>200.36826699033048</v>
      </c>
      <c r="V9" s="65">
        <f>Raw!V9</f>
        <v>1745.6645857438266</v>
      </c>
      <c r="W9" s="65">
        <f>Raw!W9</f>
        <v>22.849012902406109</v>
      </c>
      <c r="X9" s="65">
        <f>Raw!X9</f>
        <v>0</v>
      </c>
      <c r="Y9" s="509">
        <f>Raw!Y9+Raw!Z9</f>
        <v>195.13085776330075</v>
      </c>
      <c r="Z9" s="66">
        <f>Raw!AA9</f>
        <v>0</v>
      </c>
      <c r="AA9" s="67">
        <f t="shared" si="0"/>
        <v>5688.0630606452169</v>
      </c>
      <c r="AE9" s="408" t="s">
        <v>153</v>
      </c>
      <c r="AF9" s="644">
        <f>Raw!P40</f>
        <v>1444.6905199999999</v>
      </c>
      <c r="AG9" s="645">
        <f>Raw!Q40</f>
        <v>2270.2279600000002</v>
      </c>
      <c r="AH9" s="645">
        <f>Raw!R40</f>
        <v>1180.246384</v>
      </c>
      <c r="AI9" s="645">
        <f>Raw!S40</f>
        <v>724.84001599999999</v>
      </c>
      <c r="AJ9" s="645">
        <f>Raw!T40</f>
        <v>876.33974400000011</v>
      </c>
      <c r="AK9" s="645">
        <f>Raw!U40</f>
        <v>753.41631199999995</v>
      </c>
      <c r="AL9" s="645">
        <f>Raw!V40</f>
        <v>2252.9914640000002</v>
      </c>
      <c r="AM9" s="645">
        <f>Raw!W40</f>
        <v>311.617704</v>
      </c>
      <c r="AN9" s="645">
        <f>Raw!Y40</f>
        <v>1253.2746959999999</v>
      </c>
      <c r="AO9" s="646">
        <f>Raw!Z40</f>
        <v>11067.6448</v>
      </c>
      <c r="AS9" s="425"/>
      <c r="AT9" s="425" t="s">
        <v>343</v>
      </c>
      <c r="AU9" s="682">
        <f>AV9/AY9</f>
        <v>0.76877155930708319</v>
      </c>
      <c r="AV9" s="430">
        <f>SUM(AV2:AV8)</f>
        <v>8458.98911029786</v>
      </c>
      <c r="AW9" s="430">
        <f>SUM(AW2:AW8)</f>
        <v>2445.8218195370287</v>
      </c>
      <c r="AX9" s="430">
        <f>SUM(AX2:AX8)</f>
        <v>98.443558302264023</v>
      </c>
      <c r="AY9" s="431">
        <f t="shared" si="2"/>
        <v>11003.254488137152</v>
      </c>
      <c r="AZ9" s="426">
        <f>SUM(AZ2:AZ8)</f>
        <v>11003.254488137154</v>
      </c>
      <c r="BC9" s="425"/>
      <c r="BD9" s="425"/>
      <c r="BG9" s="471"/>
      <c r="BH9" s="471"/>
      <c r="BI9" s="471"/>
      <c r="BL9" s="270"/>
      <c r="BM9" s="270"/>
      <c r="BN9" s="270"/>
      <c r="BO9" s="270"/>
      <c r="BQ9" s="401" t="s">
        <v>621</v>
      </c>
      <c r="BR9" s="691" t="s">
        <v>554</v>
      </c>
      <c r="BS9" s="270" t="s">
        <v>306</v>
      </c>
      <c r="BT9" s="270" t="s">
        <v>301</v>
      </c>
      <c r="BU9" s="270" t="s">
        <v>426</v>
      </c>
      <c r="BV9" s="270"/>
      <c r="BW9" s="270"/>
    </row>
    <row r="10" spans="1:76">
      <c r="A10" s="421" t="s">
        <v>8</v>
      </c>
      <c r="B10" s="424">
        <f>Raw!B10</f>
        <v>0</v>
      </c>
      <c r="C10" s="65">
        <f>Raw!C10</f>
        <v>0</v>
      </c>
      <c r="D10" s="65">
        <f>Raw!D10</f>
        <v>0</v>
      </c>
      <c r="E10" s="65">
        <f>Raw!E10</f>
        <v>563.83783715929269</v>
      </c>
      <c r="F10" s="65">
        <f>Raw!F10</f>
        <v>62.648648573254725</v>
      </c>
      <c r="G10" s="65">
        <f>Raw!G10</f>
        <v>0</v>
      </c>
      <c r="H10" s="65">
        <f>Raw!H10</f>
        <v>0</v>
      </c>
      <c r="I10" s="65">
        <f>Raw!I10</f>
        <v>0</v>
      </c>
      <c r="J10" s="65">
        <f>Raw!J10</f>
        <v>0</v>
      </c>
      <c r="K10" s="65">
        <f>Raw!K10</f>
        <v>0</v>
      </c>
      <c r="L10" s="65">
        <f>Raw!L10</f>
        <v>0</v>
      </c>
      <c r="M10" s="65">
        <f>Raw!M10</f>
        <v>0</v>
      </c>
      <c r="N10" s="65">
        <f>Raw!N10</f>
        <v>0</v>
      </c>
      <c r="O10" s="65">
        <f>Raw!O10</f>
        <v>0</v>
      </c>
      <c r="P10" s="65">
        <f>Raw!P10</f>
        <v>662.2698508943555</v>
      </c>
      <c r="Q10" s="65">
        <f>Raw!Q10</f>
        <v>178.57382391418926</v>
      </c>
      <c r="R10" s="65">
        <f>Raw!R10</f>
        <v>297.38869100670109</v>
      </c>
      <c r="S10" s="65">
        <f>Raw!S10</f>
        <v>165.56746272358887</v>
      </c>
      <c r="T10" s="65">
        <f>Raw!T10</f>
        <v>165.21593944816726</v>
      </c>
      <c r="U10" s="65">
        <f>Raw!U10</f>
        <v>164.86441617274559</v>
      </c>
      <c r="V10" s="65">
        <f>Raw!V10</f>
        <v>0</v>
      </c>
      <c r="W10" s="65">
        <f>Raw!W10</f>
        <v>27.770338758308963</v>
      </c>
      <c r="X10" s="65">
        <f>Raw!X10</f>
        <v>0</v>
      </c>
      <c r="Y10" s="509">
        <f>Raw!Y10+Raw!Z10</f>
        <v>108.0629750271444</v>
      </c>
      <c r="Z10" s="66">
        <f>Raw!AA10</f>
        <v>0</v>
      </c>
      <c r="AA10" s="67">
        <f t="shared" si="0"/>
        <v>2396.1999836777482</v>
      </c>
      <c r="AF10" s="410">
        <f>SUM(AF2:AF8)</f>
        <v>1444.6905200000001</v>
      </c>
      <c r="AG10" s="410">
        <f t="shared" ref="AG10:AO10" si="7">SUM(AG2:AG8)</f>
        <v>2270.2279600000002</v>
      </c>
      <c r="AH10" s="410">
        <f t="shared" si="7"/>
        <v>1180.246384</v>
      </c>
      <c r="AI10" s="410">
        <f t="shared" si="7"/>
        <v>724.84001599999999</v>
      </c>
      <c r="AJ10" s="410">
        <f t="shared" si="7"/>
        <v>876.339744</v>
      </c>
      <c r="AK10" s="410">
        <f t="shared" si="7"/>
        <v>753.41631199999995</v>
      </c>
      <c r="AL10" s="410">
        <f t="shared" si="7"/>
        <v>2252.9914639999997</v>
      </c>
      <c r="AM10" s="410">
        <f t="shared" si="7"/>
        <v>311.617704</v>
      </c>
      <c r="AN10" s="410">
        <f t="shared" si="7"/>
        <v>1253.2746959999997</v>
      </c>
      <c r="AO10" s="410">
        <f t="shared" si="7"/>
        <v>11067.6448</v>
      </c>
      <c r="BB10" s="401" t="s">
        <v>542</v>
      </c>
      <c r="BC10" s="401" t="s">
        <v>362</v>
      </c>
      <c r="BD10" s="271" t="s">
        <v>159</v>
      </c>
      <c r="BE10" s="485" t="s">
        <v>389</v>
      </c>
      <c r="BF10" s="270" t="s">
        <v>390</v>
      </c>
      <c r="BG10" s="270" t="s">
        <v>391</v>
      </c>
      <c r="BH10" s="270" t="s">
        <v>392</v>
      </c>
      <c r="BI10" s="270" t="s">
        <v>401</v>
      </c>
      <c r="BJ10" s="270" t="s">
        <v>380</v>
      </c>
      <c r="BK10" s="401" t="s">
        <v>559</v>
      </c>
      <c r="BL10" s="270" t="s">
        <v>303</v>
      </c>
      <c r="BM10" s="270" t="s">
        <v>135</v>
      </c>
      <c r="BN10" s="270" t="s">
        <v>301</v>
      </c>
      <c r="BO10" s="270" t="s">
        <v>302</v>
      </c>
      <c r="BR10" s="270"/>
      <c r="BS10" s="270" t="s">
        <v>427</v>
      </c>
      <c r="BT10" s="266">
        <f>upstream!W24</f>
        <v>352.7534395658368</v>
      </c>
      <c r="BU10" s="329">
        <f t="shared" ref="BU10:BU15" si="8">BT10/$BT$15</f>
        <v>0.16793725357719982</v>
      </c>
      <c r="BV10" s="270"/>
      <c r="BW10" s="270"/>
    </row>
    <row r="11" spans="1:76">
      <c r="A11" s="421" t="s">
        <v>9</v>
      </c>
      <c r="B11" s="424">
        <f>Raw!B11</f>
        <v>0</v>
      </c>
      <c r="C11" s="65">
        <f>Raw!C11</f>
        <v>0</v>
      </c>
      <c r="D11" s="65">
        <f>Raw!D11</f>
        <v>0</v>
      </c>
      <c r="E11" s="65">
        <f>Raw!E11</f>
        <v>111.30345075346665</v>
      </c>
      <c r="F11" s="65">
        <f>Raw!F11</f>
        <v>12.367050083718514</v>
      </c>
      <c r="G11" s="65">
        <f>Raw!G11</f>
        <v>0</v>
      </c>
      <c r="H11" s="65">
        <f>Raw!H11</f>
        <v>0</v>
      </c>
      <c r="I11" s="65">
        <f>Raw!I11</f>
        <v>0</v>
      </c>
      <c r="J11" s="65">
        <f>Raw!J11</f>
        <v>0</v>
      </c>
      <c r="K11" s="65">
        <f>Raw!K11</f>
        <v>0</v>
      </c>
      <c r="L11" s="65">
        <f>Raw!L11</f>
        <v>0</v>
      </c>
      <c r="M11" s="65">
        <f>Raw!M11</f>
        <v>0</v>
      </c>
      <c r="N11" s="65">
        <f>Raw!N11</f>
        <v>0</v>
      </c>
      <c r="O11" s="65">
        <f>Raw!O11</f>
        <v>0</v>
      </c>
      <c r="P11" s="65">
        <f>Raw!P11</f>
        <v>9.8426517118057077</v>
      </c>
      <c r="Q11" s="65">
        <f>Raw!Q11</f>
        <v>1.4060931016865299</v>
      </c>
      <c r="R11" s="65">
        <f>Raw!R11</f>
        <v>4.9213258559028539</v>
      </c>
      <c r="S11" s="65">
        <f>Raw!S11</f>
        <v>1.7576163771081621</v>
      </c>
      <c r="T11" s="65">
        <f>Raw!T11</f>
        <v>318.83161080742065</v>
      </c>
      <c r="U11" s="65">
        <f>Raw!U11</f>
        <v>4.9213258559028539</v>
      </c>
      <c r="V11" s="65">
        <f>Raw!V11</f>
        <v>0.35152327542163248</v>
      </c>
      <c r="W11" s="65">
        <f>Raw!W11</f>
        <v>1.7576163771081621</v>
      </c>
      <c r="X11" s="65">
        <f>Raw!X11</f>
        <v>0</v>
      </c>
      <c r="Y11" s="509">
        <f>Raw!Y11+Raw!Z11</f>
        <v>5.5575244299674269</v>
      </c>
      <c r="Z11" s="66">
        <f>Raw!AA11</f>
        <v>0</v>
      </c>
      <c r="AA11" s="67">
        <f t="shared" si="0"/>
        <v>473.01778862950914</v>
      </c>
      <c r="AQ11" s="401" t="s">
        <v>535</v>
      </c>
      <c r="AR11" s="401" t="s">
        <v>536</v>
      </c>
      <c r="AS11" s="270" t="s">
        <v>159</v>
      </c>
      <c r="AT11" s="270" t="s">
        <v>393</v>
      </c>
      <c r="AU11" s="270" t="s">
        <v>112</v>
      </c>
      <c r="AV11" s="270" t="s">
        <v>369</v>
      </c>
      <c r="AW11" s="270" t="s">
        <v>370</v>
      </c>
      <c r="AZ11" s="270"/>
      <c r="BA11" s="270"/>
      <c r="BB11" s="270"/>
      <c r="BD11" s="271" t="s">
        <v>7</v>
      </c>
      <c r="BE11" s="270" t="s">
        <v>31</v>
      </c>
      <c r="BF11" s="266">
        <f>AY28</f>
        <v>4895.8997328811174</v>
      </c>
      <c r="BG11" s="800">
        <f>upstream!L13</f>
        <v>400.38668015501776</v>
      </c>
      <c r="BH11" s="417">
        <f>upstream!N13</f>
        <v>4495.5130527260999</v>
      </c>
      <c r="BI11" s="417">
        <f>upstream!P13</f>
        <v>1004.6386251872052</v>
      </c>
      <c r="BJ11" s="469">
        <f>BG11+BI11</f>
        <v>1405.025305342223</v>
      </c>
      <c r="BL11" s="270" t="s">
        <v>412</v>
      </c>
      <c r="BM11" s="270" t="s">
        <v>413</v>
      </c>
      <c r="BN11" s="498">
        <f>upstream!E2</f>
        <v>385.41176470588238</v>
      </c>
      <c r="BO11" s="329">
        <f>BN11/$BN$15</f>
        <v>0.53083364052872717</v>
      </c>
      <c r="BR11" s="270"/>
      <c r="BS11" s="270" t="s">
        <v>428</v>
      </c>
      <c r="BT11" s="268">
        <f>upstream!W25</f>
        <v>277.39877273709584</v>
      </c>
      <c r="BU11" s="331">
        <f t="shared" si="8"/>
        <v>0.13206274642280022</v>
      </c>
      <c r="BV11" s="270"/>
      <c r="BW11" s="270"/>
    </row>
    <row r="12" spans="1:76">
      <c r="A12" s="421" t="s">
        <v>78</v>
      </c>
      <c r="B12" s="424">
        <f>Raw!B12</f>
        <v>0</v>
      </c>
      <c r="C12" s="65">
        <f>Raw!C12</f>
        <v>0</v>
      </c>
      <c r="D12" s="65">
        <f>Raw!D12</f>
        <v>0</v>
      </c>
      <c r="E12" s="65">
        <f>Raw!E12</f>
        <v>29.637215171537427</v>
      </c>
      <c r="F12" s="65">
        <f>Raw!F12</f>
        <v>3.2930239079486023</v>
      </c>
      <c r="G12" s="65">
        <f>Raw!G12</f>
        <v>0</v>
      </c>
      <c r="H12" s="65">
        <f>Raw!H12</f>
        <v>0</v>
      </c>
      <c r="I12" s="65">
        <f>Raw!I12</f>
        <v>0</v>
      </c>
      <c r="J12" s="65">
        <f>Raw!J12</f>
        <v>0</v>
      </c>
      <c r="K12" s="65">
        <f>Raw!K12</f>
        <v>0</v>
      </c>
      <c r="L12" s="65">
        <f>Raw!L12</f>
        <v>0</v>
      </c>
      <c r="M12" s="65">
        <f>Raw!M12</f>
        <v>0</v>
      </c>
      <c r="N12" s="65">
        <f>Raw!N12</f>
        <v>0</v>
      </c>
      <c r="O12" s="65">
        <f>Raw!O12</f>
        <v>0</v>
      </c>
      <c r="P12" s="65">
        <f>Raw!P12</f>
        <v>0</v>
      </c>
      <c r="Q12" s="65">
        <f>Raw!Q12</f>
        <v>25.661199105779168</v>
      </c>
      <c r="R12" s="65">
        <f>Raw!R12</f>
        <v>49.564781834450173</v>
      </c>
      <c r="S12" s="65">
        <f>Raw!S12</f>
        <v>6.3274189575893844</v>
      </c>
      <c r="T12" s="65">
        <f>Raw!T12</f>
        <v>0.35152327542163248</v>
      </c>
      <c r="U12" s="65">
        <f>Raw!U12</f>
        <v>3.5152327542163242</v>
      </c>
      <c r="V12" s="65">
        <f>Raw!V12</f>
        <v>0</v>
      </c>
      <c r="W12" s="65">
        <f>Raw!W12</f>
        <v>37.964513745536301</v>
      </c>
      <c r="X12" s="65">
        <f>Raw!X12</f>
        <v>0</v>
      </c>
      <c r="Y12" s="509">
        <f>Raw!Y12+Raw!Z12</f>
        <v>8.336286644951139</v>
      </c>
      <c r="Z12" s="66">
        <f>Raw!AA12</f>
        <v>0</v>
      </c>
      <c r="AA12" s="67">
        <f t="shared" si="0"/>
        <v>164.65119539743014</v>
      </c>
      <c r="AS12" s="270" t="s">
        <v>10</v>
      </c>
      <c r="AT12" s="271" t="s">
        <v>149</v>
      </c>
      <c r="AU12" s="460">
        <f>Raw!AA13</f>
        <v>49.232506584885122</v>
      </c>
      <c r="AV12" s="461">
        <f>AU12*4</f>
        <v>196.93002633954049</v>
      </c>
      <c r="AW12" s="462">
        <f>SUM(AU12:AV12)</f>
        <v>246.16253292442562</v>
      </c>
      <c r="AX12" s="459">
        <f>AV6/(AY6+AV12)</f>
        <v>0.81599999999999984</v>
      </c>
      <c r="AY12" s="458"/>
      <c r="BD12" s="271" t="s">
        <v>8</v>
      </c>
      <c r="BE12" s="270" t="s">
        <v>32</v>
      </c>
      <c r="BF12" s="267">
        <f>AY29</f>
        <v>1941.1640271813683</v>
      </c>
      <c r="BG12" s="448">
        <f>upstream!L14</f>
        <v>379.89952552160611</v>
      </c>
      <c r="BH12" s="418">
        <f>upstream!N14</f>
        <v>1561.2645016597621</v>
      </c>
      <c r="BI12" s="418">
        <f>upstream!P14</f>
        <v>325.71359835882123</v>
      </c>
      <c r="BJ12" s="469">
        <f>BG12+BI12</f>
        <v>705.61312388042734</v>
      </c>
      <c r="BL12" s="270"/>
      <c r="BM12" s="270" t="s">
        <v>77</v>
      </c>
      <c r="BN12" s="499">
        <f>upstream!E3</f>
        <v>302.8235294117647</v>
      </c>
      <c r="BO12" s="331">
        <f>BN12/$BN$15</f>
        <v>0.41708357470114271</v>
      </c>
      <c r="BR12" s="270"/>
      <c r="BS12" s="270" t="s">
        <v>555</v>
      </c>
      <c r="BT12" s="267">
        <f>SUM(BT10:BT11)</f>
        <v>630.15221230293264</v>
      </c>
      <c r="BU12" s="330">
        <f t="shared" si="8"/>
        <v>0.30000000000000004</v>
      </c>
      <c r="BV12" s="270" t="s">
        <v>423</v>
      </c>
      <c r="BW12" s="270"/>
    </row>
    <row r="13" spans="1:76">
      <c r="A13" s="421" t="s">
        <v>10</v>
      </c>
      <c r="B13" s="424">
        <f>Raw!B13</f>
        <v>0</v>
      </c>
      <c r="C13" s="65">
        <f>Raw!C13</f>
        <v>0</v>
      </c>
      <c r="D13" s="65">
        <f>Raw!D13</f>
        <v>0</v>
      </c>
      <c r="E13" s="65">
        <f>Raw!E13</f>
        <v>0</v>
      </c>
      <c r="F13" s="65">
        <f>Raw!F13</f>
        <v>0</v>
      </c>
      <c r="G13" s="65">
        <f>Raw!G13</f>
        <v>0</v>
      </c>
      <c r="H13" s="65">
        <f>Raw!H13</f>
        <v>0</v>
      </c>
      <c r="I13" s="65">
        <f>Raw!I13</f>
        <v>0</v>
      </c>
      <c r="J13" s="65">
        <f>Raw!J13</f>
        <v>0</v>
      </c>
      <c r="K13" s="65">
        <f>Raw!K13</f>
        <v>0</v>
      </c>
      <c r="L13" s="65">
        <f>Raw!L13</f>
        <v>0</v>
      </c>
      <c r="M13" s="65">
        <f>Raw!M13</f>
        <v>0</v>
      </c>
      <c r="N13" s="65">
        <f>Raw!N13</f>
        <v>0</v>
      </c>
      <c r="O13" s="65">
        <f>Raw!O13</f>
        <v>0</v>
      </c>
      <c r="P13" s="65">
        <f>Raw!P13</f>
        <v>12.654837915178769</v>
      </c>
      <c r="Q13" s="65">
        <f>Raw!Q13</f>
        <v>388.29261003073526</v>
      </c>
      <c r="R13" s="65">
        <f>Raw!R13</f>
        <v>86.900253929232036</v>
      </c>
      <c r="S13" s="65">
        <f>Raw!S13</f>
        <v>72.765318012277916</v>
      </c>
      <c r="T13" s="65">
        <f>Raw!T13</f>
        <v>46.190158390402502</v>
      </c>
      <c r="U13" s="65">
        <f>Raw!U13</f>
        <v>126.12655122128174</v>
      </c>
      <c r="V13" s="65">
        <f>Raw!V13</f>
        <v>0</v>
      </c>
      <c r="W13" s="65">
        <f>Raw!W13</f>
        <v>90.693005058781168</v>
      </c>
      <c r="X13" s="65">
        <f>Raw!X13</f>
        <v>0</v>
      </c>
      <c r="Y13" s="509">
        <f>Raw!Y13+Raw!Z13</f>
        <v>268.05458536782373</v>
      </c>
      <c r="Z13" s="66">
        <f>Raw!AA13</f>
        <v>49.232506584885122</v>
      </c>
      <c r="AA13" s="67">
        <f t="shared" si="0"/>
        <v>1140.9098265105984</v>
      </c>
      <c r="AF13" s="272" t="s">
        <v>13</v>
      </c>
      <c r="AG13" s="272" t="s">
        <v>14</v>
      </c>
      <c r="AH13" s="272" t="s">
        <v>15</v>
      </c>
      <c r="AI13" s="272" t="s">
        <v>16</v>
      </c>
      <c r="AJ13" s="272" t="s">
        <v>17</v>
      </c>
      <c r="AK13" s="272" t="s">
        <v>18</v>
      </c>
      <c r="AL13" s="272" t="s">
        <v>19</v>
      </c>
      <c r="AM13" s="272" t="s">
        <v>20</v>
      </c>
      <c r="AS13" s="270" t="s">
        <v>11</v>
      </c>
      <c r="AT13" s="271" t="s">
        <v>305</v>
      </c>
      <c r="AU13" s="463">
        <f>Raw!AA14</f>
        <v>33.765021674259359</v>
      </c>
      <c r="AV13" s="464">
        <f>AU13*4</f>
        <v>135.06008669703743</v>
      </c>
      <c r="AW13" s="465">
        <f>SUM(AU13:AV13)</f>
        <v>168.82510837129678</v>
      </c>
      <c r="AX13" s="459">
        <f>AV7/(AY7+AV13)</f>
        <v>0.81599999999999984</v>
      </c>
      <c r="AY13" s="458"/>
      <c r="BD13" s="271" t="s">
        <v>9</v>
      </c>
      <c r="BE13" s="270" t="s">
        <v>146</v>
      </c>
      <c r="BF13" s="267">
        <f>AY30</f>
        <v>383.19218836451148</v>
      </c>
      <c r="BG13" s="448">
        <f>upstream!L15</f>
        <v>75.105668919444255</v>
      </c>
      <c r="BH13" s="418">
        <f>upstream!N15</f>
        <v>308.08651944506721</v>
      </c>
      <c r="BI13" s="418">
        <f>upstream!P15</f>
        <v>64.296939767849324</v>
      </c>
      <c r="BJ13" s="469">
        <f>BG13+BI13</f>
        <v>139.40260868729359</v>
      </c>
      <c r="BL13" s="270"/>
      <c r="BM13" s="270" t="s">
        <v>411</v>
      </c>
      <c r="BN13" s="498">
        <f>SUM(BN11:BN12)</f>
        <v>688.23529411764707</v>
      </c>
      <c r="BO13" s="329">
        <f>BN13/BN15</f>
        <v>0.94791721522986983</v>
      </c>
      <c r="BR13" s="270"/>
      <c r="BS13" s="270" t="s">
        <v>556</v>
      </c>
      <c r="BT13" s="267">
        <f>upstream!W27</f>
        <v>1360.6036517307487</v>
      </c>
      <c r="BU13" s="330">
        <f t="shared" si="8"/>
        <v>0.64775000000000005</v>
      </c>
      <c r="BV13" s="270" t="s">
        <v>424</v>
      </c>
      <c r="BW13" s="270"/>
    </row>
    <row r="14" spans="1:76">
      <c r="A14" s="421" t="s">
        <v>11</v>
      </c>
      <c r="B14" s="424">
        <f>Raw!B14</f>
        <v>0</v>
      </c>
      <c r="C14" s="65">
        <f>Raw!C14</f>
        <v>0</v>
      </c>
      <c r="D14" s="65">
        <f>Raw!D14</f>
        <v>0</v>
      </c>
      <c r="E14" s="65">
        <f>Raw!E14</f>
        <v>0</v>
      </c>
      <c r="F14" s="65">
        <f>Raw!F14</f>
        <v>0</v>
      </c>
      <c r="G14" s="65">
        <f>Raw!G14</f>
        <v>0</v>
      </c>
      <c r="H14" s="65">
        <f>Raw!H14</f>
        <v>0</v>
      </c>
      <c r="I14" s="65">
        <f>Raw!I14</f>
        <v>0</v>
      </c>
      <c r="J14" s="65">
        <f>Raw!J14</f>
        <v>0</v>
      </c>
      <c r="K14" s="65">
        <f>Raw!K14</f>
        <v>0</v>
      </c>
      <c r="L14" s="65">
        <f>Raw!L14</f>
        <v>0</v>
      </c>
      <c r="M14" s="65">
        <f>Raw!M14</f>
        <v>0</v>
      </c>
      <c r="N14" s="65">
        <f>Raw!N14</f>
        <v>0</v>
      </c>
      <c r="O14" s="65">
        <f>Raw!O14</f>
        <v>0</v>
      </c>
      <c r="P14" s="65">
        <f>Raw!P14</f>
        <v>0</v>
      </c>
      <c r="Q14" s="65">
        <f>Raw!Q14</f>
        <v>357.47573621877206</v>
      </c>
      <c r="R14" s="65">
        <f>Raw!R14</f>
        <v>39.500115422378144</v>
      </c>
      <c r="S14" s="65">
        <f>Raw!S14</f>
        <v>36.382659006138958</v>
      </c>
      <c r="T14" s="65">
        <f>Raw!T14</f>
        <v>23.095079195201251</v>
      </c>
      <c r="U14" s="65">
        <f>Raw!U14</f>
        <v>63.063275610640872</v>
      </c>
      <c r="V14" s="65">
        <f>Raw!V14</f>
        <v>0</v>
      </c>
      <c r="W14" s="65">
        <f>Raw!W14</f>
        <v>45.346502529390584</v>
      </c>
      <c r="X14" s="65">
        <f>Raw!X14</f>
        <v>0</v>
      </c>
      <c r="Y14" s="509">
        <f>Raw!Y14+Raw!Z14</f>
        <v>183.83928653366357</v>
      </c>
      <c r="Z14" s="66">
        <f>Raw!AA14</f>
        <v>33.765021674259359</v>
      </c>
      <c r="AA14" s="67">
        <f t="shared" si="0"/>
        <v>782.46767619044488</v>
      </c>
      <c r="AE14" s="401" t="s">
        <v>617</v>
      </c>
      <c r="AF14" s="272" t="str">
        <f t="shared" ref="AF14:AN14" si="9">AF1</f>
        <v>Construction</v>
      </c>
      <c r="AG14" s="272" t="str">
        <f t="shared" si="9"/>
        <v>Trans. Auto</v>
      </c>
      <c r="AH14" s="272" t="str">
        <f t="shared" si="9"/>
        <v>Trans. Other</v>
      </c>
      <c r="AI14" s="272" t="str">
        <f t="shared" si="9"/>
        <v>Durables</v>
      </c>
      <c r="AJ14" s="272" t="str">
        <f t="shared" si="9"/>
        <v>Electrical</v>
      </c>
      <c r="AK14" s="272" t="str">
        <f t="shared" si="9"/>
        <v>Machinery</v>
      </c>
      <c r="AL14" s="272" t="str">
        <f t="shared" si="9"/>
        <v>Container</v>
      </c>
      <c r="AM14" s="272" t="str">
        <f t="shared" si="9"/>
        <v>Other</v>
      </c>
      <c r="AN14" s="272" t="str">
        <f t="shared" si="9"/>
        <v>Export</v>
      </c>
      <c r="AO14" s="272" t="s">
        <v>153</v>
      </c>
      <c r="AS14" s="270" t="s">
        <v>12</v>
      </c>
      <c r="AT14" s="271" t="s">
        <v>148</v>
      </c>
      <c r="AU14" s="466">
        <f>Raw!AA15</f>
        <v>15.446030043119556</v>
      </c>
      <c r="AV14" s="467">
        <f>AU14*4</f>
        <v>61.784120172478225</v>
      </c>
      <c r="AW14" s="468">
        <f>SUM(AU14:AV14)</f>
        <v>77.230150215597774</v>
      </c>
      <c r="AX14" s="459">
        <f>AV8/(AY8+AV14)</f>
        <v>0.81599999999999984</v>
      </c>
      <c r="AY14" s="458"/>
      <c r="BD14" s="271" t="s">
        <v>78</v>
      </c>
      <c r="BE14" s="270" t="s">
        <v>147</v>
      </c>
      <c r="BF14" s="267">
        <f>AY31</f>
        <v>133.38409970579696</v>
      </c>
      <c r="BG14" s="448">
        <f>upstream!L16</f>
        <v>26.143283542336203</v>
      </c>
      <c r="BH14" s="418">
        <f>upstream!N16</f>
        <v>107.24081616346075</v>
      </c>
      <c r="BI14" s="418">
        <f>upstream!P16</f>
        <v>22.380908810735821</v>
      </c>
      <c r="BJ14" s="469">
        <f>BG14+BI14</f>
        <v>48.524192353072024</v>
      </c>
      <c r="BL14" s="270"/>
      <c r="BM14" s="270" t="s">
        <v>112</v>
      </c>
      <c r="BN14" s="268">
        <f>upstream!E4</f>
        <v>37.814705882353017</v>
      </c>
      <c r="BO14" s="331">
        <f>BN14/$BN$15</f>
        <v>5.2082784770130175E-2</v>
      </c>
      <c r="BR14" s="270"/>
      <c r="BS14" s="270" t="s">
        <v>557</v>
      </c>
      <c r="BT14" s="268">
        <f>upstream!Y29</f>
        <v>109.7515103094274</v>
      </c>
      <c r="BU14" s="331">
        <f t="shared" si="8"/>
        <v>5.2249999999999991E-2</v>
      </c>
      <c r="BV14" s="270" t="s">
        <v>425</v>
      </c>
      <c r="BW14" s="270"/>
    </row>
    <row r="15" spans="1:76">
      <c r="A15" s="421" t="s">
        <v>12</v>
      </c>
      <c r="B15" s="424">
        <f>Raw!B15</f>
        <v>0</v>
      </c>
      <c r="C15" s="65">
        <f>Raw!C15</f>
        <v>0</v>
      </c>
      <c r="D15" s="65">
        <f>Raw!D15</f>
        <v>0</v>
      </c>
      <c r="E15" s="65">
        <f>Raw!E15</f>
        <v>0</v>
      </c>
      <c r="F15" s="65">
        <f>Raw!F15</f>
        <v>0</v>
      </c>
      <c r="G15" s="65">
        <f>Raw!G15</f>
        <v>0</v>
      </c>
      <c r="H15" s="65">
        <f>Raw!H15</f>
        <v>0</v>
      </c>
      <c r="I15" s="65">
        <f>Raw!I15</f>
        <v>0</v>
      </c>
      <c r="J15" s="65">
        <f>Raw!J15</f>
        <v>0</v>
      </c>
      <c r="K15" s="65">
        <f>Raw!K15</f>
        <v>0</v>
      </c>
      <c r="L15" s="65">
        <f>Raw!L15</f>
        <v>0</v>
      </c>
      <c r="M15" s="65">
        <f>Raw!M15</f>
        <v>0</v>
      </c>
      <c r="N15" s="65">
        <f>Raw!N15</f>
        <v>0</v>
      </c>
      <c r="O15" s="65">
        <f>Raw!O15</f>
        <v>0</v>
      </c>
      <c r="P15" s="65">
        <f>Raw!P15</f>
        <v>0</v>
      </c>
      <c r="Q15" s="65">
        <f>Raw!Q15</f>
        <v>178.73786810938603</v>
      </c>
      <c r="R15" s="65">
        <f>Raw!R15</f>
        <v>23.700069253426868</v>
      </c>
      <c r="S15" s="65">
        <f>Raw!S15</f>
        <v>12.127553002046319</v>
      </c>
      <c r="T15" s="65">
        <f>Raw!T15</f>
        <v>7.6983597317337509</v>
      </c>
      <c r="U15" s="65">
        <f>Raw!U15</f>
        <v>21.02109187021362</v>
      </c>
      <c r="V15" s="65">
        <f>Raw!V15</f>
        <v>0</v>
      </c>
      <c r="W15" s="65">
        <f>Raw!W15</f>
        <v>15.115500843130196</v>
      </c>
      <c r="X15" s="65">
        <f>Raw!X15</f>
        <v>0</v>
      </c>
      <c r="Y15" s="509">
        <f>Raw!Y15+Raw!Z15</f>
        <v>84.098484233148909</v>
      </c>
      <c r="Z15" s="66">
        <f>Raw!AA15</f>
        <v>15.446030043119556</v>
      </c>
      <c r="AA15" s="67">
        <f t="shared" si="0"/>
        <v>357.94495708620519</v>
      </c>
      <c r="AD15" s="272" t="s">
        <v>7</v>
      </c>
      <c r="AE15" s="272" t="str">
        <f>AE2</f>
        <v>Sheet and Foil</v>
      </c>
      <c r="AF15" s="273">
        <f>Raw!P9</f>
        <v>434.83429169655932</v>
      </c>
      <c r="AG15" s="274">
        <f>Raw!Q9</f>
        <v>629.22666300472201</v>
      </c>
      <c r="AH15" s="274">
        <f>Raw!R9</f>
        <v>412.68832534499654</v>
      </c>
      <c r="AI15" s="274">
        <f>Raw!S9</f>
        <v>266.80616604501898</v>
      </c>
      <c r="AJ15" s="274">
        <f>Raw!T9</f>
        <v>117.76029726624687</v>
      </c>
      <c r="AK15" s="274">
        <f>Raw!U9</f>
        <v>200.36826699033048</v>
      </c>
      <c r="AL15" s="274">
        <f>Raw!V9</f>
        <v>1745.6645857438266</v>
      </c>
      <c r="AM15" s="274">
        <f>Raw!W9</f>
        <v>22.849012902406109</v>
      </c>
      <c r="AN15" s="274">
        <f>Raw!Y9</f>
        <v>195.13085776330075</v>
      </c>
      <c r="AO15" s="275">
        <f>SUM(AF15:AN15)</f>
        <v>4025.3284667574076</v>
      </c>
      <c r="AU15" s="458"/>
      <c r="BD15" s="271"/>
      <c r="BE15" s="271" t="s">
        <v>348</v>
      </c>
      <c r="BF15" s="268">
        <f>SUM(BF11:BF14)</f>
        <v>7353.6400481327946</v>
      </c>
      <c r="BG15" s="801">
        <f>SUM(BG11:BG14)</f>
        <v>881.53515813840443</v>
      </c>
      <c r="BH15" s="416">
        <f>SUM(BH11:BH14)</f>
        <v>6472.1048899943908</v>
      </c>
      <c r="BI15" s="416">
        <f>SUM(BI11:BI14)</f>
        <v>1417.0300721246115</v>
      </c>
      <c r="BJ15" s="470">
        <f>SUM(BJ11:BJ14)</f>
        <v>2298.565230263016</v>
      </c>
      <c r="BM15" s="270" t="s">
        <v>345</v>
      </c>
      <c r="BN15" s="268">
        <f>BN13+BN14</f>
        <v>726.05000000000007</v>
      </c>
      <c r="BO15" s="331">
        <f>BN15/$BN$15</f>
        <v>1</v>
      </c>
      <c r="BR15" s="270"/>
      <c r="BS15" s="270" t="s">
        <v>153</v>
      </c>
      <c r="BT15" s="268">
        <f>SUM(BT12:BT14)</f>
        <v>2100.5073743431085</v>
      </c>
      <c r="BU15" s="331">
        <f t="shared" si="8"/>
        <v>1</v>
      </c>
      <c r="BV15" s="270"/>
      <c r="BW15" s="270"/>
    </row>
    <row r="16" spans="1:76">
      <c r="A16" s="421" t="s">
        <v>13</v>
      </c>
      <c r="B16" s="424">
        <f>Raw!B16</f>
        <v>0</v>
      </c>
      <c r="C16" s="65">
        <f>Raw!C16</f>
        <v>0</v>
      </c>
      <c r="D16" s="65">
        <f>Raw!D16</f>
        <v>0</v>
      </c>
      <c r="E16" s="65">
        <f>Raw!E16</f>
        <v>108.91112779386829</v>
      </c>
      <c r="F16" s="65">
        <f>Raw!F16</f>
        <v>12.101236421540918</v>
      </c>
      <c r="G16" s="65">
        <f>Raw!G16</f>
        <v>0</v>
      </c>
      <c r="H16" s="65">
        <f>Raw!H16</f>
        <v>0</v>
      </c>
      <c r="I16" s="65">
        <f>Raw!I16</f>
        <v>0</v>
      </c>
      <c r="J16" s="65">
        <f>Raw!J16</f>
        <v>0</v>
      </c>
      <c r="K16" s="65">
        <f>Raw!K16</f>
        <v>0</v>
      </c>
      <c r="L16" s="65">
        <f>Raw!L16</f>
        <v>0</v>
      </c>
      <c r="M16" s="65">
        <f>Raw!M16</f>
        <v>0</v>
      </c>
      <c r="N16" s="65">
        <f>Raw!N16</f>
        <v>0</v>
      </c>
      <c r="O16" s="65">
        <f>Raw!O16</f>
        <v>0</v>
      </c>
      <c r="P16" s="65">
        <f>Raw!P16</f>
        <v>0</v>
      </c>
      <c r="Q16" s="65">
        <f>Raw!Q16</f>
        <v>0</v>
      </c>
      <c r="R16" s="65">
        <f>Raw!R16</f>
        <v>0</v>
      </c>
      <c r="S16" s="65">
        <f>Raw!S16</f>
        <v>0</v>
      </c>
      <c r="T16" s="65">
        <f>Raw!T16</f>
        <v>0</v>
      </c>
      <c r="U16" s="65">
        <f>Raw!U16</f>
        <v>0</v>
      </c>
      <c r="V16" s="65">
        <f>Raw!V16</f>
        <v>0</v>
      </c>
      <c r="W16" s="65">
        <f>Raw!W16</f>
        <v>0</v>
      </c>
      <c r="X16" s="65">
        <f>end_use!M2-end_use!O2</f>
        <v>1134.4682655758756</v>
      </c>
      <c r="Y16" s="509">
        <f>end_use!O2</f>
        <v>38.769756875012874</v>
      </c>
      <c r="Z16" s="66">
        <f>Raw!AA16</f>
        <v>0</v>
      </c>
      <c r="AA16" s="67">
        <f t="shared" si="0"/>
        <v>1294.2503866662978</v>
      </c>
      <c r="AB16" s="419">
        <f>end_use!L2</f>
        <v>1294.2503866662978</v>
      </c>
      <c r="AC16" s="419"/>
      <c r="AD16" s="272" t="s">
        <v>8</v>
      </c>
      <c r="AE16" s="272" t="str">
        <f>AE3</f>
        <v>Extrusions</v>
      </c>
      <c r="AF16" s="276">
        <f>Raw!P10</f>
        <v>662.2698508943555</v>
      </c>
      <c r="AG16" s="277">
        <f>Raw!Q10</f>
        <v>178.57382391418926</v>
      </c>
      <c r="AH16" s="277">
        <f>Raw!R10</f>
        <v>297.38869100670109</v>
      </c>
      <c r="AI16" s="277">
        <f>Raw!S10</f>
        <v>165.56746272358887</v>
      </c>
      <c r="AJ16" s="277">
        <f>Raw!T10</f>
        <v>165.21593944816726</v>
      </c>
      <c r="AK16" s="277">
        <f>Raw!U10</f>
        <v>164.86441617274559</v>
      </c>
      <c r="AL16" s="277">
        <f>Raw!V10</f>
        <v>0</v>
      </c>
      <c r="AM16" s="277">
        <f>Raw!W10</f>
        <v>27.770338758308963</v>
      </c>
      <c r="AN16" s="277">
        <f>Raw!Y10</f>
        <v>108.0629750271444</v>
      </c>
      <c r="AO16" s="278">
        <f t="shared" ref="AO16:AO22" si="10">SUM(AF16:AN16)</f>
        <v>1769.7134979452012</v>
      </c>
      <c r="BD16" s="270"/>
      <c r="BE16" s="270"/>
      <c r="BF16" s="270"/>
      <c r="BG16" s="270"/>
      <c r="BH16" s="270"/>
      <c r="BI16" s="473">
        <f>BI15/BH15</f>
        <v>0.21894423780357483</v>
      </c>
      <c r="BL16" s="270"/>
      <c r="BM16" s="270"/>
      <c r="BN16" s="270"/>
      <c r="BO16" s="270"/>
      <c r="BP16" s="270"/>
      <c r="BQ16" s="270"/>
    </row>
    <row r="17" spans="1:75">
      <c r="A17" s="421" t="s">
        <v>14</v>
      </c>
      <c r="B17" s="424">
        <f>Raw!B17</f>
        <v>0</v>
      </c>
      <c r="C17" s="65">
        <f>Raw!C17</f>
        <v>0</v>
      </c>
      <c r="D17" s="65">
        <f>Raw!D17</f>
        <v>0</v>
      </c>
      <c r="E17" s="65">
        <f>Raw!E17</f>
        <v>230.04077980913286</v>
      </c>
      <c r="F17" s="65">
        <f>Raw!F17</f>
        <v>25.560086645459201</v>
      </c>
      <c r="G17" s="65">
        <f>Raw!G17</f>
        <v>0</v>
      </c>
      <c r="H17" s="65">
        <f>Raw!H17</f>
        <v>0</v>
      </c>
      <c r="I17" s="65">
        <f>Raw!I17</f>
        <v>0</v>
      </c>
      <c r="J17" s="65">
        <f>Raw!J17</f>
        <v>0</v>
      </c>
      <c r="K17" s="65">
        <f>Raw!K17</f>
        <v>0</v>
      </c>
      <c r="L17" s="65">
        <f>Raw!L17</f>
        <v>0</v>
      </c>
      <c r="M17" s="65">
        <f>Raw!M17</f>
        <v>0</v>
      </c>
      <c r="N17" s="65">
        <f>Raw!N17</f>
        <v>0</v>
      </c>
      <c r="O17" s="65">
        <f>Raw!O17</f>
        <v>0</v>
      </c>
      <c r="P17" s="65">
        <f>Raw!P17</f>
        <v>0</v>
      </c>
      <c r="Q17" s="65">
        <f>Raw!Q17</f>
        <v>0</v>
      </c>
      <c r="R17" s="65">
        <f>Raw!R17</f>
        <v>0</v>
      </c>
      <c r="S17" s="65">
        <f>Raw!S17</f>
        <v>0</v>
      </c>
      <c r="T17" s="65">
        <f>Raw!T17</f>
        <v>0</v>
      </c>
      <c r="U17" s="65">
        <f>Raw!U17</f>
        <v>0</v>
      </c>
      <c r="V17" s="65">
        <f>Raw!V17</f>
        <v>0</v>
      </c>
      <c r="W17" s="65">
        <f>Raw!W17</f>
        <v>0</v>
      </c>
      <c r="X17" s="65">
        <f>end_use!M3-end_use!O3</f>
        <v>1197.9821360982469</v>
      </c>
      <c r="Y17" s="509">
        <f>end_use!O3</f>
        <v>580.23903363705801</v>
      </c>
      <c r="Z17" s="66">
        <f>Raw!AA17</f>
        <v>0</v>
      </c>
      <c r="AA17" s="67">
        <f t="shared" si="0"/>
        <v>2033.8220361898971</v>
      </c>
      <c r="AB17" s="419">
        <f>end_use!L3</f>
        <v>2033.8220361898971</v>
      </c>
      <c r="AC17" s="419"/>
      <c r="AD17" s="272" t="s">
        <v>9</v>
      </c>
      <c r="AE17" s="272" t="str">
        <f>AE4</f>
        <v>Cable/Wire</v>
      </c>
      <c r="AF17" s="276">
        <f>Raw!P11</f>
        <v>9.8426517118057077</v>
      </c>
      <c r="AG17" s="277">
        <f>Raw!Q11</f>
        <v>1.4060931016865299</v>
      </c>
      <c r="AH17" s="277">
        <f>Raw!R11</f>
        <v>4.9213258559028539</v>
      </c>
      <c r="AI17" s="277">
        <f>Raw!S11</f>
        <v>1.7576163771081621</v>
      </c>
      <c r="AJ17" s="277">
        <f>Raw!T11</f>
        <v>318.83161080742065</v>
      </c>
      <c r="AK17" s="277">
        <f>Raw!U11</f>
        <v>4.9213258559028539</v>
      </c>
      <c r="AL17" s="277">
        <f>Raw!V11</f>
        <v>0.35152327542163248</v>
      </c>
      <c r="AM17" s="277">
        <f>Raw!W11</f>
        <v>1.7576163771081621</v>
      </c>
      <c r="AN17" s="277">
        <f>Raw!Y11</f>
        <v>5.5575244299674269</v>
      </c>
      <c r="AO17" s="278">
        <f t="shared" si="10"/>
        <v>349.34728779232398</v>
      </c>
      <c r="AS17" s="270"/>
      <c r="AT17" s="270"/>
      <c r="AU17" s="270" t="s">
        <v>366</v>
      </c>
      <c r="AW17" s="270" t="s">
        <v>367</v>
      </c>
      <c r="AX17" s="270"/>
      <c r="AY17" s="270"/>
      <c r="BB17" s="401" t="s">
        <v>543</v>
      </c>
      <c r="BC17" s="401" t="s">
        <v>363</v>
      </c>
      <c r="BD17" s="271" t="s">
        <v>159</v>
      </c>
      <c r="BE17" s="485" t="s">
        <v>389</v>
      </c>
      <c r="BF17" s="270" t="s">
        <v>390</v>
      </c>
      <c r="BG17" s="270" t="s">
        <v>391</v>
      </c>
      <c r="BH17" s="270" t="s">
        <v>392</v>
      </c>
      <c r="BI17" s="270" t="s">
        <v>402</v>
      </c>
      <c r="BJ17" s="270" t="s">
        <v>380</v>
      </c>
      <c r="BL17" s="270"/>
      <c r="BM17" s="270"/>
      <c r="BN17" s="270"/>
      <c r="BO17" s="270"/>
      <c r="BP17" s="270"/>
      <c r="BQ17" s="401" t="s">
        <v>658</v>
      </c>
      <c r="BR17" s="401" t="s">
        <v>560</v>
      </c>
    </row>
    <row r="18" spans="1:75">
      <c r="A18" s="421" t="s">
        <v>15</v>
      </c>
      <c r="B18" s="424">
        <f>Raw!B18</f>
        <v>0</v>
      </c>
      <c r="C18" s="65">
        <f>Raw!C18</f>
        <v>0</v>
      </c>
      <c r="D18" s="65">
        <f>Raw!D18</f>
        <v>0</v>
      </c>
      <c r="E18" s="65">
        <f>Raw!E18</f>
        <v>163.95461657399977</v>
      </c>
      <c r="F18" s="65">
        <f>Raw!F18</f>
        <v>18.217179619333304</v>
      </c>
      <c r="G18" s="65">
        <f>Raw!G18</f>
        <v>0</v>
      </c>
      <c r="H18" s="65">
        <f>Raw!H18</f>
        <v>0</v>
      </c>
      <c r="I18" s="65">
        <f>Raw!I18</f>
        <v>0</v>
      </c>
      <c r="J18" s="65">
        <f>Raw!J18</f>
        <v>0</v>
      </c>
      <c r="K18" s="65">
        <f>Raw!K18</f>
        <v>0</v>
      </c>
      <c r="L18" s="65">
        <f>Raw!L18</f>
        <v>0</v>
      </c>
      <c r="M18" s="65">
        <f>Raw!M18</f>
        <v>0</v>
      </c>
      <c r="N18" s="65">
        <f>Raw!N18</f>
        <v>0</v>
      </c>
      <c r="O18" s="65">
        <f>Raw!O18</f>
        <v>0</v>
      </c>
      <c r="P18" s="65">
        <f>Raw!P18</f>
        <v>0</v>
      </c>
      <c r="Q18" s="65">
        <f>Raw!Q18</f>
        <v>0</v>
      </c>
      <c r="R18" s="65">
        <f>Raw!R18</f>
        <v>0</v>
      </c>
      <c r="S18" s="65">
        <f>Raw!S18</f>
        <v>0</v>
      </c>
      <c r="T18" s="65">
        <f>Raw!T18</f>
        <v>0</v>
      </c>
      <c r="U18" s="65">
        <f>Raw!U18</f>
        <v>0</v>
      </c>
      <c r="V18" s="65">
        <f>Raw!V18</f>
        <v>0</v>
      </c>
      <c r="W18" s="65">
        <f>Raw!W18</f>
        <v>0</v>
      </c>
      <c r="X18" s="65">
        <f>end_use!M4-end_use!O4</f>
        <v>688.1793177417436</v>
      </c>
      <c r="Y18" s="509">
        <f>end_use!O4</f>
        <v>186.9925300541565</v>
      </c>
      <c r="Z18" s="66">
        <f>Raw!AA18</f>
        <v>0</v>
      </c>
      <c r="AA18" s="67">
        <f t="shared" si="0"/>
        <v>1057.3436439892332</v>
      </c>
      <c r="AB18" s="419">
        <f>end_use!L4</f>
        <v>1057.3436439892332</v>
      </c>
      <c r="AC18" s="419"/>
      <c r="AD18" s="272" t="s">
        <v>78</v>
      </c>
      <c r="AE18" s="272" t="str">
        <f>AE5</f>
        <v>Forgings and Powders</v>
      </c>
      <c r="AF18" s="276">
        <f>Raw!P12</f>
        <v>0</v>
      </c>
      <c r="AG18" s="277">
        <f>Raw!Q12</f>
        <v>25.661199105779168</v>
      </c>
      <c r="AH18" s="277">
        <f>Raw!R12</f>
        <v>49.564781834450173</v>
      </c>
      <c r="AI18" s="277">
        <f>Raw!S12</f>
        <v>6.3274189575893844</v>
      </c>
      <c r="AJ18" s="277">
        <f>Raw!T12</f>
        <v>0.35152327542163248</v>
      </c>
      <c r="AK18" s="277">
        <f>Raw!U12</f>
        <v>3.5152327542163242</v>
      </c>
      <c r="AL18" s="277">
        <f>Raw!V12</f>
        <v>0</v>
      </c>
      <c r="AM18" s="277">
        <f>Raw!W12</f>
        <v>37.964513745536301</v>
      </c>
      <c r="AN18" s="277">
        <f>Raw!Y12</f>
        <v>8.336286644951139</v>
      </c>
      <c r="AO18" s="278">
        <f t="shared" si="10"/>
        <v>131.72095631794411</v>
      </c>
      <c r="AQ18" s="401" t="s">
        <v>538</v>
      </c>
      <c r="AR18" s="401" t="s">
        <v>300</v>
      </c>
      <c r="AS18" s="271" t="s">
        <v>159</v>
      </c>
      <c r="AT18" s="485" t="s">
        <v>389</v>
      </c>
      <c r="AU18" s="270" t="s">
        <v>358</v>
      </c>
      <c r="AV18" s="270" t="s">
        <v>359</v>
      </c>
      <c r="AW18" s="270" t="s">
        <v>358</v>
      </c>
      <c r="AX18" s="270" t="s">
        <v>360</v>
      </c>
      <c r="BD18" s="271" t="s">
        <v>10</v>
      </c>
      <c r="BE18" s="270" t="s">
        <v>149</v>
      </c>
      <c r="BF18" s="266">
        <f>AY35</f>
        <v>1140.5310462719333</v>
      </c>
      <c r="BG18" s="433">
        <f>upstream!L23</f>
        <v>171.07965694078999</v>
      </c>
      <c r="BH18" s="417">
        <f>upstream!N23</f>
        <v>969.45138933114333</v>
      </c>
      <c r="BI18" s="434">
        <f>upstream!P23</f>
        <v>53.31982641321288</v>
      </c>
      <c r="BJ18" s="449">
        <f>BG18+BI18</f>
        <v>224.39948335400288</v>
      </c>
      <c r="BL18" s="270"/>
      <c r="BM18" s="270"/>
      <c r="BN18" s="270"/>
      <c r="BO18" s="270"/>
      <c r="BP18" s="270"/>
      <c r="BQ18" s="401" t="s">
        <v>659</v>
      </c>
      <c r="BR18" s="272" t="s">
        <v>159</v>
      </c>
      <c r="BS18" s="272" t="s">
        <v>410</v>
      </c>
      <c r="BT18" s="272" t="s">
        <v>414</v>
      </c>
      <c r="BU18" s="272" t="s">
        <v>415</v>
      </c>
      <c r="BV18" s="272" t="s">
        <v>416</v>
      </c>
    </row>
    <row r="19" spans="1:75">
      <c r="A19" s="421" t="s">
        <v>16</v>
      </c>
      <c r="B19" s="424">
        <f>Raw!B19</f>
        <v>0</v>
      </c>
      <c r="C19" s="65">
        <f>Raw!C19</f>
        <v>0</v>
      </c>
      <c r="D19" s="65">
        <f>Raw!D19</f>
        <v>0</v>
      </c>
      <c r="E19" s="65">
        <f>Raw!E19</f>
        <v>67.033246910490348</v>
      </c>
      <c r="F19" s="65">
        <f>Raw!F19</f>
        <v>7.4481385456100364</v>
      </c>
      <c r="G19" s="65">
        <f>Raw!G19</f>
        <v>0</v>
      </c>
      <c r="H19" s="65">
        <f>Raw!H19</f>
        <v>0</v>
      </c>
      <c r="I19" s="65">
        <f>Raw!I19</f>
        <v>0</v>
      </c>
      <c r="J19" s="65">
        <f>Raw!J19</f>
        <v>0</v>
      </c>
      <c r="K19" s="65">
        <f>Raw!K19</f>
        <v>0</v>
      </c>
      <c r="L19" s="65">
        <f>Raw!L19</f>
        <v>0</v>
      </c>
      <c r="M19" s="65">
        <f>Raw!M19</f>
        <v>0</v>
      </c>
      <c r="N19" s="65">
        <f>Raw!N19</f>
        <v>0</v>
      </c>
      <c r="O19" s="65">
        <f>Raw!O19</f>
        <v>0</v>
      </c>
      <c r="P19" s="65">
        <f>Raw!P19</f>
        <v>0</v>
      </c>
      <c r="Q19" s="65">
        <f>Raw!Q19</f>
        <v>0</v>
      </c>
      <c r="R19" s="65">
        <f>Raw!R19</f>
        <v>0</v>
      </c>
      <c r="S19" s="65">
        <f>Raw!S19</f>
        <v>0</v>
      </c>
      <c r="T19" s="65">
        <f>Raw!T19</f>
        <v>0</v>
      </c>
      <c r="U19" s="65">
        <f>Raw!U19</f>
        <v>0</v>
      </c>
      <c r="V19" s="65">
        <f>Raw!V19</f>
        <v>0</v>
      </c>
      <c r="W19" s="65">
        <f>Raw!W19</f>
        <v>0</v>
      </c>
      <c r="X19" s="65">
        <f>end_use!M5-end_use!O5</f>
        <v>448.84092190277795</v>
      </c>
      <c r="Y19" s="509">
        <f>end_use!O5</f>
        <v>126.03785524480894</v>
      </c>
      <c r="Z19" s="66">
        <f>Raw!AA19</f>
        <v>0</v>
      </c>
      <c r="AA19" s="67">
        <f t="shared" si="0"/>
        <v>649.36016260368729</v>
      </c>
      <c r="AB19" s="419">
        <f>end_use!L5</f>
        <v>649.36016260368729</v>
      </c>
      <c r="AC19" s="419"/>
      <c r="AD19" s="272" t="s">
        <v>10</v>
      </c>
      <c r="AE19" s="272" t="s">
        <v>116</v>
      </c>
      <c r="AF19" s="276">
        <f>Raw!P13</f>
        <v>12.654837915178769</v>
      </c>
      <c r="AG19" s="277">
        <f>Raw!Q13</f>
        <v>388.29261003073526</v>
      </c>
      <c r="AH19" s="277">
        <f>Raw!R13</f>
        <v>86.900253929232036</v>
      </c>
      <c r="AI19" s="277">
        <f>Raw!S13</f>
        <v>72.765318012277916</v>
      </c>
      <c r="AJ19" s="277">
        <f>Raw!T13</f>
        <v>46.190158390402502</v>
      </c>
      <c r="AK19" s="277">
        <f>Raw!U13</f>
        <v>126.12655122128174</v>
      </c>
      <c r="AL19" s="277">
        <f>Raw!V13</f>
        <v>0</v>
      </c>
      <c r="AM19" s="277">
        <f>Raw!W13</f>
        <v>90.693005058781168</v>
      </c>
      <c r="AN19" s="277">
        <f>Raw!Y13</f>
        <v>268.05458536782373</v>
      </c>
      <c r="AO19" s="278">
        <f t="shared" si="10"/>
        <v>1091.6773199257132</v>
      </c>
      <c r="AS19" s="271" t="s">
        <v>7</v>
      </c>
      <c r="AT19" s="271" t="s">
        <v>31</v>
      </c>
      <c r="AU19" s="514">
        <f>upstream!F13</f>
        <v>0.85</v>
      </c>
      <c r="AV19" s="515">
        <f t="shared" ref="AV19:AV25" si="11">1-AU19</f>
        <v>0.15000000000000002</v>
      </c>
      <c r="AW19" s="516">
        <f>1-AX19</f>
        <v>0.98753117206982544</v>
      </c>
      <c r="AX19" s="517">
        <f>upstream!H13/upstream!J13</f>
        <v>1.2468827930174562E-2</v>
      </c>
      <c r="BC19" s="270"/>
      <c r="BD19" s="271" t="s">
        <v>11</v>
      </c>
      <c r="BE19" s="270" t="s">
        <v>305</v>
      </c>
      <c r="BF19" s="267">
        <f>AY36</f>
        <v>782.20789817271896</v>
      </c>
      <c r="BG19" s="435">
        <f>upstream!L24</f>
        <v>78.220789817271893</v>
      </c>
      <c r="BH19" s="418">
        <f>upstream!N24</f>
        <v>703.98710835544705</v>
      </c>
      <c r="BI19" s="436">
        <f>upstream!P24</f>
        <v>38.719290959549589</v>
      </c>
      <c r="BJ19" s="449">
        <f>BG19+BI19</f>
        <v>116.94008077682147</v>
      </c>
      <c r="BR19" s="272" t="s">
        <v>13</v>
      </c>
      <c r="BS19" s="408" t="s">
        <v>37</v>
      </c>
      <c r="BT19" s="500">
        <f>end_use!G2</f>
        <v>0.95</v>
      </c>
      <c r="BU19" s="403">
        <f>end_use!H2</f>
        <v>262.24072820496161</v>
      </c>
      <c r="BV19" s="319">
        <f>end_use!I2</f>
        <v>249.12869179471352</v>
      </c>
    </row>
    <row r="20" spans="1:75">
      <c r="A20" s="421" t="s">
        <v>17</v>
      </c>
      <c r="B20" s="424">
        <f>Raw!B20</f>
        <v>0</v>
      </c>
      <c r="C20" s="65">
        <f>Raw!C20</f>
        <v>0</v>
      </c>
      <c r="D20" s="65">
        <f>Raw!D20</f>
        <v>0</v>
      </c>
      <c r="E20" s="65">
        <f>Raw!E20</f>
        <v>52.926091637040159</v>
      </c>
      <c r="F20" s="65">
        <f>Raw!F20</f>
        <v>5.8806768485600163</v>
      </c>
      <c r="G20" s="65">
        <f>Raw!G20</f>
        <v>0</v>
      </c>
      <c r="H20" s="65">
        <f>Raw!H20</f>
        <v>0</v>
      </c>
      <c r="I20" s="65">
        <f>Raw!I20</f>
        <v>0</v>
      </c>
      <c r="J20" s="65">
        <f>Raw!J20</f>
        <v>0</v>
      </c>
      <c r="K20" s="65">
        <f>Raw!K20</f>
        <v>0</v>
      </c>
      <c r="L20" s="65">
        <f>Raw!L20</f>
        <v>0</v>
      </c>
      <c r="M20" s="65">
        <f>Raw!M20</f>
        <v>0</v>
      </c>
      <c r="N20" s="65">
        <f>Raw!N20</f>
        <v>0</v>
      </c>
      <c r="O20" s="65">
        <f>Raw!O20</f>
        <v>0</v>
      </c>
      <c r="P20" s="65">
        <f>Raw!P20</f>
        <v>0</v>
      </c>
      <c r="Q20" s="65">
        <f>Raw!Q20</f>
        <v>0</v>
      </c>
      <c r="R20" s="65">
        <f>Raw!R20</f>
        <v>0</v>
      </c>
      <c r="S20" s="65">
        <f>Raw!S20</f>
        <v>0</v>
      </c>
      <c r="T20" s="65">
        <f>Raw!T20</f>
        <v>0</v>
      </c>
      <c r="U20" s="65">
        <f>Raw!U20</f>
        <v>0</v>
      </c>
      <c r="V20" s="65">
        <f>Raw!V20</f>
        <v>0</v>
      </c>
      <c r="W20" s="65">
        <f>Raw!W20</f>
        <v>0</v>
      </c>
      <c r="X20" s="65">
        <f>end_use!M6-end_use!O6</f>
        <v>520.4182847410184</v>
      </c>
      <c r="Y20" s="509">
        <f>end_use!O6</f>
        <v>205.85869780612489</v>
      </c>
      <c r="Z20" s="66">
        <f>Raw!AA20</f>
        <v>0</v>
      </c>
      <c r="AA20" s="67">
        <f t="shared" si="0"/>
        <v>785.08375103274352</v>
      </c>
      <c r="AB20" s="419">
        <f>end_use!L6</f>
        <v>785.08375103274352</v>
      </c>
      <c r="AC20" s="419"/>
      <c r="AD20" s="272" t="s">
        <v>11</v>
      </c>
      <c r="AE20" s="272" t="s">
        <v>156</v>
      </c>
      <c r="AF20" s="276">
        <f>Raw!P14</f>
        <v>0</v>
      </c>
      <c r="AG20" s="277">
        <f>Raw!Q14</f>
        <v>357.47573621877206</v>
      </c>
      <c r="AH20" s="277">
        <f>Raw!R14</f>
        <v>39.500115422378144</v>
      </c>
      <c r="AI20" s="277">
        <f>Raw!S14</f>
        <v>36.382659006138958</v>
      </c>
      <c r="AJ20" s="277">
        <f>Raw!T14</f>
        <v>23.095079195201251</v>
      </c>
      <c r="AK20" s="277">
        <f>Raw!U14</f>
        <v>63.063275610640872</v>
      </c>
      <c r="AL20" s="277">
        <f>Raw!V14</f>
        <v>0</v>
      </c>
      <c r="AM20" s="277">
        <f>Raw!W14</f>
        <v>45.346502529390584</v>
      </c>
      <c r="AN20" s="277">
        <f>Raw!Y14</f>
        <v>183.83928653366357</v>
      </c>
      <c r="AO20" s="278">
        <f t="shared" si="10"/>
        <v>748.70265451618548</v>
      </c>
      <c r="AS20" s="271" t="s">
        <v>8</v>
      </c>
      <c r="AT20" s="271" t="s">
        <v>32</v>
      </c>
      <c r="AU20" s="518">
        <f>upstream!F14</f>
        <v>0.8</v>
      </c>
      <c r="AV20" s="519">
        <f t="shared" si="11"/>
        <v>0.19999999999999996</v>
      </c>
      <c r="AW20" s="520">
        <f t="shared" ref="AW20:AW25" si="12">1-AX20</f>
        <v>0.98753117206982544</v>
      </c>
      <c r="AX20" s="521">
        <f>upstream!H14/upstream!J14</f>
        <v>1.2468827930174564E-2</v>
      </c>
      <c r="BC20" s="270"/>
      <c r="BD20" s="271" t="s">
        <v>12</v>
      </c>
      <c r="BE20" s="270" t="s">
        <v>148</v>
      </c>
      <c r="BF20" s="267">
        <f>AY37</f>
        <v>357.8261199326252</v>
      </c>
      <c r="BG20" s="435">
        <f>upstream!L25</f>
        <v>35.78261199326252</v>
      </c>
      <c r="BH20" s="418">
        <f>upstream!N25</f>
        <v>322.04350793936271</v>
      </c>
      <c r="BI20" s="436">
        <f>upstream!P25</f>
        <v>17.712392936664948</v>
      </c>
      <c r="BJ20" s="449">
        <f>BG20+BI20</f>
        <v>53.495004929927468</v>
      </c>
      <c r="BR20" s="272" t="s">
        <v>14</v>
      </c>
      <c r="BS20" s="408" t="s">
        <v>154</v>
      </c>
      <c r="BT20" s="501">
        <f>end_use!G3</f>
        <v>0.95</v>
      </c>
      <c r="BU20" s="265">
        <f>end_use!H3</f>
        <v>1413.8677185192548</v>
      </c>
      <c r="BV20" s="321">
        <f>end_use!I3</f>
        <v>1343.1743325932921</v>
      </c>
    </row>
    <row r="21" spans="1:75">
      <c r="A21" s="421" t="s">
        <v>18</v>
      </c>
      <c r="B21" s="424">
        <f>Raw!B21</f>
        <v>0</v>
      </c>
      <c r="C21" s="65">
        <f>Raw!C21</f>
        <v>0</v>
      </c>
      <c r="D21" s="65">
        <f>Raw!D21</f>
        <v>0</v>
      </c>
      <c r="E21" s="65">
        <f>Raw!E21</f>
        <v>56.901542707028831</v>
      </c>
      <c r="F21" s="65">
        <f>Raw!F21</f>
        <v>6.322393634114313</v>
      </c>
      <c r="G21" s="65">
        <f>Raw!G21</f>
        <v>0</v>
      </c>
      <c r="H21" s="65">
        <f>Raw!H21</f>
        <v>0</v>
      </c>
      <c r="I21" s="65">
        <f>Raw!I21</f>
        <v>0</v>
      </c>
      <c r="J21" s="65">
        <f>Raw!J21</f>
        <v>0</v>
      </c>
      <c r="K21" s="65">
        <f>Raw!K21</f>
        <v>0</v>
      </c>
      <c r="L21" s="65">
        <f>Raw!L21</f>
        <v>0</v>
      </c>
      <c r="M21" s="65">
        <f>Raw!M21</f>
        <v>0</v>
      </c>
      <c r="N21" s="65">
        <f>Raw!N21</f>
        <v>0</v>
      </c>
      <c r="O21" s="65">
        <f>Raw!O21</f>
        <v>0</v>
      </c>
      <c r="P21" s="65">
        <f>Raw!P21</f>
        <v>0</v>
      </c>
      <c r="Q21" s="65">
        <f>Raw!Q21</f>
        <v>0</v>
      </c>
      <c r="R21" s="65">
        <f>Raw!R21</f>
        <v>0</v>
      </c>
      <c r="S21" s="65">
        <f>Raw!S21</f>
        <v>0</v>
      </c>
      <c r="T21" s="65">
        <f>Raw!T21</f>
        <v>0</v>
      </c>
      <c r="U21" s="65">
        <f>Raw!U21</f>
        <v>0</v>
      </c>
      <c r="V21" s="65">
        <f>Raw!V21</f>
        <v>0</v>
      </c>
      <c r="W21" s="65">
        <f>Raw!W21</f>
        <v>0</v>
      </c>
      <c r="X21" s="65">
        <f>end_use!M7-end_use!O7</f>
        <v>514.47686280125708</v>
      </c>
      <c r="Y21" s="509">
        <f>end_use!O7</f>
        <v>97.259920560180831</v>
      </c>
      <c r="Z21" s="66">
        <f>Raw!AA21</f>
        <v>0</v>
      </c>
      <c r="AA21" s="67">
        <f t="shared" si="0"/>
        <v>674.96071970258106</v>
      </c>
      <c r="AB21" s="419">
        <f>end_use!L7</f>
        <v>674.96071970258106</v>
      </c>
      <c r="AC21" s="419"/>
      <c r="AD21" s="272" t="s">
        <v>12</v>
      </c>
      <c r="AE21" s="272" t="s">
        <v>114</v>
      </c>
      <c r="AF21" s="276">
        <f>Raw!P15</f>
        <v>0</v>
      </c>
      <c r="AG21" s="277">
        <f>Raw!Q15</f>
        <v>178.73786810938603</v>
      </c>
      <c r="AH21" s="277">
        <f>Raw!R15</f>
        <v>23.700069253426868</v>
      </c>
      <c r="AI21" s="277">
        <f>Raw!S15</f>
        <v>12.127553002046319</v>
      </c>
      <c r="AJ21" s="277">
        <f>Raw!T15</f>
        <v>7.6983597317337509</v>
      </c>
      <c r="AK21" s="277">
        <f>Raw!U15</f>
        <v>21.02109187021362</v>
      </c>
      <c r="AL21" s="277">
        <f>Raw!V15</f>
        <v>0</v>
      </c>
      <c r="AM21" s="277">
        <f>Raw!W15</f>
        <v>15.115500843130196</v>
      </c>
      <c r="AN21" s="277">
        <f>Raw!Y15</f>
        <v>84.098484233148909</v>
      </c>
      <c r="AO21" s="278">
        <f t="shared" si="10"/>
        <v>342.49892704308564</v>
      </c>
      <c r="AS21" s="271" t="s">
        <v>9</v>
      </c>
      <c r="AT21" s="271" t="s">
        <v>146</v>
      </c>
      <c r="AU21" s="518">
        <f>upstream!F15</f>
        <v>0.8</v>
      </c>
      <c r="AV21" s="519">
        <f t="shared" si="11"/>
        <v>0.19999999999999996</v>
      </c>
      <c r="AW21" s="520">
        <f t="shared" si="12"/>
        <v>0.98753117206982544</v>
      </c>
      <c r="AX21" s="521">
        <f>upstream!H15/upstream!J15</f>
        <v>1.2468827930174564E-2</v>
      </c>
      <c r="BC21" s="270"/>
      <c r="BD21" s="270"/>
      <c r="BE21" s="270" t="s">
        <v>349</v>
      </c>
      <c r="BF21" s="268">
        <f>SUM(BF18:BF20)</f>
        <v>2280.5650643772774</v>
      </c>
      <c r="BG21" s="437">
        <f>SUM(BG18:BG20)</f>
        <v>285.08305875132442</v>
      </c>
      <c r="BH21" s="416">
        <f>SUM(BH18:BH20)</f>
        <v>1995.4820056259532</v>
      </c>
      <c r="BI21" s="438">
        <f>SUM(BI18:BI20)</f>
        <v>109.7515103094274</v>
      </c>
      <c r="BJ21" s="449">
        <f>BG21+BI21</f>
        <v>394.83456906075185</v>
      </c>
      <c r="BR21" s="272" t="s">
        <v>15</v>
      </c>
      <c r="BS21" s="408" t="s">
        <v>155</v>
      </c>
      <c r="BT21" s="501">
        <f>end_use!G4</f>
        <v>0.95</v>
      </c>
      <c r="BU21" s="265">
        <f>end_use!H4</f>
        <v>524.78956542767355</v>
      </c>
      <c r="BV21" s="321">
        <f>end_use!I4</f>
        <v>498.55008715628986</v>
      </c>
    </row>
    <row r="22" spans="1:75">
      <c r="A22" s="421" t="s">
        <v>19</v>
      </c>
      <c r="B22" s="424">
        <f>Raw!B22</f>
        <v>0</v>
      </c>
      <c r="C22" s="65">
        <f>Raw!C22</f>
        <v>0</v>
      </c>
      <c r="D22" s="65">
        <f>Raw!D22</f>
        <v>0</v>
      </c>
      <c r="E22" s="65">
        <f>Raw!E22</f>
        <v>286.68991207103471</v>
      </c>
      <c r="F22" s="65">
        <f>Raw!F22</f>
        <v>31.854434674559403</v>
      </c>
      <c r="G22" s="65">
        <f>Raw!G22</f>
        <v>0</v>
      </c>
      <c r="H22" s="65">
        <f>Raw!H22</f>
        <v>0</v>
      </c>
      <c r="I22" s="65">
        <f>Raw!I22</f>
        <v>0</v>
      </c>
      <c r="J22" s="65">
        <f>Raw!J22</f>
        <v>0</v>
      </c>
      <c r="K22" s="65">
        <f>Raw!K22</f>
        <v>0</v>
      </c>
      <c r="L22" s="65">
        <f>Raw!L22</f>
        <v>0</v>
      </c>
      <c r="M22" s="65">
        <f>Raw!M22</f>
        <v>0</v>
      </c>
      <c r="N22" s="65">
        <f>Raw!N22</f>
        <v>0</v>
      </c>
      <c r="O22" s="65">
        <f>Raw!O22</f>
        <v>0</v>
      </c>
      <c r="P22" s="65">
        <f>Raw!P22</f>
        <v>0</v>
      </c>
      <c r="Q22" s="65">
        <f>Raw!Q22</f>
        <v>0</v>
      </c>
      <c r="R22" s="65">
        <f>Raw!R22</f>
        <v>0</v>
      </c>
      <c r="S22" s="65">
        <f>Raw!S22</f>
        <v>0</v>
      </c>
      <c r="T22" s="65">
        <f>Raw!T22</f>
        <v>0</v>
      </c>
      <c r="U22" s="65">
        <f>Raw!U22</f>
        <v>0</v>
      </c>
      <c r="V22" s="65">
        <f>Raw!V22</f>
        <v>0</v>
      </c>
      <c r="W22" s="65">
        <f>Raw!W22</f>
        <v>0</v>
      </c>
      <c r="X22" s="65">
        <f>end_use!M8-end_use!O8</f>
        <v>1699.8360835751289</v>
      </c>
      <c r="Y22" s="509">
        <f>end_use!O8</f>
        <v>0</v>
      </c>
      <c r="Z22" s="66">
        <f>Raw!AA22</f>
        <v>0</v>
      </c>
      <c r="AA22" s="67">
        <f t="shared" si="0"/>
        <v>2018.380430320723</v>
      </c>
      <c r="AB22" s="419">
        <f>end_use!L8</f>
        <v>2018.380430320723</v>
      </c>
      <c r="AC22" s="419"/>
      <c r="AE22" s="272" t="s">
        <v>83</v>
      </c>
      <c r="AF22" s="276">
        <f>SUM(AF15:AF21)</f>
        <v>1119.6016322178994</v>
      </c>
      <c r="AG22" s="277">
        <f t="shared" ref="AG22:AM22" si="13">SUM(AG15:AG21)</f>
        <v>1759.3739934852701</v>
      </c>
      <c r="AH22" s="277">
        <f t="shared" si="13"/>
        <v>914.6635626470877</v>
      </c>
      <c r="AI22" s="277">
        <f t="shared" si="13"/>
        <v>561.73419412376859</v>
      </c>
      <c r="AJ22" s="277">
        <f t="shared" si="13"/>
        <v>679.14296811459394</v>
      </c>
      <c r="AK22" s="277">
        <f t="shared" si="13"/>
        <v>583.88016047533142</v>
      </c>
      <c r="AL22" s="277">
        <f t="shared" si="13"/>
        <v>1746.0161090192482</v>
      </c>
      <c r="AM22" s="277">
        <f t="shared" si="13"/>
        <v>241.49649021466152</v>
      </c>
      <c r="AN22" s="277">
        <f>SUM(AN15:AN21)</f>
        <v>853.07999999999993</v>
      </c>
      <c r="AO22" s="278">
        <f t="shared" si="10"/>
        <v>8458.9891102978618</v>
      </c>
      <c r="AS22" s="271" t="s">
        <v>78</v>
      </c>
      <c r="AT22" s="271" t="s">
        <v>147</v>
      </c>
      <c r="AU22" s="518">
        <f>upstream!F16</f>
        <v>0.8</v>
      </c>
      <c r="AV22" s="519">
        <f t="shared" si="11"/>
        <v>0.19999999999999996</v>
      </c>
      <c r="AW22" s="520">
        <f t="shared" si="12"/>
        <v>0.98753117206982544</v>
      </c>
      <c r="AX22" s="521">
        <f>upstream!H16/upstream!J16</f>
        <v>1.2468827930174562E-2</v>
      </c>
      <c r="BI22" s="473">
        <f>BI21/BH21</f>
        <v>5.4999999999999986E-2</v>
      </c>
      <c r="BR22" s="272" t="s">
        <v>16</v>
      </c>
      <c r="BS22" s="408" t="s">
        <v>40</v>
      </c>
      <c r="BT22" s="501">
        <f>end_use!G5</f>
        <v>0.95</v>
      </c>
      <c r="BU22" s="265">
        <f>end_use!H5</f>
        <v>885.04113954509535</v>
      </c>
      <c r="BV22" s="321">
        <f>end_use!I5</f>
        <v>840.78908256784052</v>
      </c>
    </row>
    <row r="23" spans="1:75">
      <c r="A23" s="421" t="s">
        <v>20</v>
      </c>
      <c r="B23" s="424">
        <f>Raw!B23</f>
        <v>0</v>
      </c>
      <c r="C23" s="65">
        <f>Raw!C23</f>
        <v>0</v>
      </c>
      <c r="D23" s="65">
        <f>Raw!D23</f>
        <v>0</v>
      </c>
      <c r="E23" s="65">
        <f>Raw!E23</f>
        <v>7.0840010066113903</v>
      </c>
      <c r="F23" s="65">
        <f>Raw!F23</f>
        <v>0.78711122295682101</v>
      </c>
      <c r="G23" s="65">
        <f>Raw!G23</f>
        <v>0</v>
      </c>
      <c r="H23" s="65">
        <f>Raw!H23</f>
        <v>0</v>
      </c>
      <c r="I23" s="65">
        <f>Raw!I23</f>
        <v>0</v>
      </c>
      <c r="J23" s="65">
        <f>Raw!J23</f>
        <v>0</v>
      </c>
      <c r="K23" s="65">
        <f>Raw!K23</f>
        <v>0</v>
      </c>
      <c r="L23" s="65">
        <f>Raw!L23</f>
        <v>0</v>
      </c>
      <c r="M23" s="65">
        <f>Raw!M23</f>
        <v>0</v>
      </c>
      <c r="N23" s="65">
        <f>Raw!N23</f>
        <v>0</v>
      </c>
      <c r="O23" s="65">
        <f>Raw!O23</f>
        <v>0</v>
      </c>
      <c r="P23" s="65">
        <f>Raw!P23</f>
        <v>0</v>
      </c>
      <c r="Q23" s="65">
        <f>Raw!Q23</f>
        <v>0</v>
      </c>
      <c r="R23" s="65">
        <f>Raw!R23</f>
        <v>0</v>
      </c>
      <c r="S23" s="65">
        <f>Raw!S23</f>
        <v>0</v>
      </c>
      <c r="T23" s="65">
        <f>Raw!T23</f>
        <v>0</v>
      </c>
      <c r="U23" s="65">
        <f>Raw!U23</f>
        <v>0</v>
      </c>
      <c r="V23" s="65">
        <f>Raw!V23</f>
        <v>0</v>
      </c>
      <c r="W23" s="65">
        <f>Raw!W23</f>
        <v>0</v>
      </c>
      <c r="X23" s="65">
        <f>end_use!M9-end_use!O9</f>
        <v>271.29686756313095</v>
      </c>
      <c r="Y23" s="510">
        <f>end_use!O9</f>
        <v>0</v>
      </c>
      <c r="Z23" s="69">
        <f>Raw!AA23</f>
        <v>0</v>
      </c>
      <c r="AA23" s="70">
        <f t="shared" si="0"/>
        <v>279.16797979269916</v>
      </c>
      <c r="AB23" s="419">
        <f>end_use!L9</f>
        <v>279.16797979269916</v>
      </c>
      <c r="AC23" s="419"/>
      <c r="AE23" s="272" t="s">
        <v>134</v>
      </c>
      <c r="AF23" s="276">
        <f>Raw!P26</f>
        <v>174.64875444839845</v>
      </c>
      <c r="AG23" s="277">
        <f>Raw!Q26</f>
        <v>274.44804270462691</v>
      </c>
      <c r="AH23" s="277">
        <f>Raw!R26</f>
        <v>142.68008134214551</v>
      </c>
      <c r="AI23" s="277">
        <f>Raw!S26</f>
        <v>87.625968479918697</v>
      </c>
      <c r="AJ23" s="277">
        <f>Raw!T26</f>
        <v>105.94078291814958</v>
      </c>
      <c r="AK23" s="277">
        <f>Raw!U26</f>
        <v>91.080559227249637</v>
      </c>
      <c r="AL23" s="277">
        <f>Raw!V26</f>
        <v>272.36432130147477</v>
      </c>
      <c r="AM23" s="277">
        <f>Raw!W26</f>
        <v>37.671489578037637</v>
      </c>
      <c r="AN23" s="277">
        <v>0</v>
      </c>
      <c r="AO23" s="278">
        <f>SUM(AF23:AN23)</f>
        <v>1186.4600000000012</v>
      </c>
      <c r="AS23" s="271" t="s">
        <v>10</v>
      </c>
      <c r="AT23" s="271" t="s">
        <v>149</v>
      </c>
      <c r="AU23" s="518">
        <f>upstream!F23</f>
        <v>0.95</v>
      </c>
      <c r="AV23" s="519">
        <f t="shared" si="11"/>
        <v>5.0000000000000044E-2</v>
      </c>
      <c r="AW23" s="520">
        <f t="shared" si="12"/>
        <v>0.95031550322799874</v>
      </c>
      <c r="AX23" s="521">
        <f>upstream!H23/upstream!J23</f>
        <v>4.9684496772001228E-2</v>
      </c>
      <c r="BC23" s="270"/>
      <c r="BD23" s="271"/>
      <c r="BF23" s="470"/>
      <c r="BR23" s="272" t="s">
        <v>17</v>
      </c>
      <c r="BS23" s="408" t="s">
        <v>41</v>
      </c>
      <c r="BT23" s="501">
        <f>end_use!G6</f>
        <v>0.95</v>
      </c>
      <c r="BU23" s="265">
        <f>end_use!H6</f>
        <v>348.47076409232585</v>
      </c>
      <c r="BV23" s="321">
        <f>end_use!I6</f>
        <v>331.04722588770954</v>
      </c>
    </row>
    <row r="24" spans="1:75">
      <c r="A24" s="421" t="s">
        <v>134</v>
      </c>
      <c r="B24" s="511">
        <f>Raw!B25-Raw!B24</f>
        <v>726.05000000000007</v>
      </c>
      <c r="C24" s="512">
        <f>upstream!M4</f>
        <v>1369.2420715382623</v>
      </c>
      <c r="D24" s="512">
        <f>Raw!D25-Raw!D24</f>
        <v>639.61941176470577</v>
      </c>
      <c r="E24" s="512">
        <f>Raw!E25-Raw!E24</f>
        <v>1385.6770681818407</v>
      </c>
      <c r="F24" s="512">
        <f>Raw!F25-Raw!F24</f>
        <v>78.398506366656875</v>
      </c>
      <c r="G24" s="512">
        <f>Raw!G25-Raw!G24</f>
        <v>165.72860973001843</v>
      </c>
      <c r="H24" s="512">
        <f>Raw!H25-Raw!H24</f>
        <v>53.595615045248451</v>
      </c>
      <c r="I24" s="512">
        <f>Raw!I25-Raw!I24</f>
        <v>853.20945909678267</v>
      </c>
      <c r="J24" s="512">
        <f>Raw!J25-Raw!J24</f>
        <v>479.23999673554954</v>
      </c>
      <c r="K24" s="512">
        <f>Raw!K25-Raw!K24</f>
        <v>94.603557725901794</v>
      </c>
      <c r="L24" s="512">
        <f>Raw!L25-Raw!L24</f>
        <v>32.930239079486029</v>
      </c>
      <c r="M24" s="512">
        <f>Raw!M25-Raw!M24</f>
        <v>57.045491325530065</v>
      </c>
      <c r="N24" s="512">
        <f>Raw!N25-Raw!N24</f>
        <v>39.123383809522238</v>
      </c>
      <c r="O24" s="512">
        <f>Raw!O25-Raw!O24</f>
        <v>17.897247854310251</v>
      </c>
      <c r="P24" s="512">
        <f>Raw!P25-Raw!P24</f>
        <v>174.64875444839845</v>
      </c>
      <c r="Q24" s="512">
        <f>Raw!Q25-Raw!Q24</f>
        <v>274.44804270462691</v>
      </c>
      <c r="R24" s="512">
        <f>Raw!R25-Raw!R24</f>
        <v>142.68008134214551</v>
      </c>
      <c r="S24" s="512">
        <f>Raw!S25-Raw!S24</f>
        <v>87.625968479918697</v>
      </c>
      <c r="T24" s="512">
        <f>Raw!T25-Raw!T24</f>
        <v>105.94078291814958</v>
      </c>
      <c r="U24" s="512">
        <f>Raw!U25-Raw!U24</f>
        <v>91.080559227249637</v>
      </c>
      <c r="V24" s="512">
        <f>Raw!V25-Raw!V24</f>
        <v>272.36432130147477</v>
      </c>
      <c r="W24" s="512">
        <f>Raw!W25-Raw!W24</f>
        <v>37.671489578037637</v>
      </c>
      <c r="X24" s="513">
        <f>end_use!N10</f>
        <v>2545.5823925923919</v>
      </c>
      <c r="Y24" s="71"/>
      <c r="Z24" s="71"/>
      <c r="AA24" s="71"/>
      <c r="AE24" s="272" t="s">
        <v>119</v>
      </c>
      <c r="AF24" s="279">
        <f>SUM(AF22:AF23)</f>
        <v>1294.2503866662978</v>
      </c>
      <c r="AG24" s="280">
        <f t="shared" ref="AG24:AM24" si="14">SUM(AG22:AG23)</f>
        <v>2033.8220361898971</v>
      </c>
      <c r="AH24" s="280">
        <f t="shared" si="14"/>
        <v>1057.3436439892332</v>
      </c>
      <c r="AI24" s="280">
        <f t="shared" si="14"/>
        <v>649.36016260368729</v>
      </c>
      <c r="AJ24" s="280">
        <f t="shared" si="14"/>
        <v>785.08375103274352</v>
      </c>
      <c r="AK24" s="280">
        <f t="shared" si="14"/>
        <v>674.96071970258106</v>
      </c>
      <c r="AL24" s="280">
        <f t="shared" si="14"/>
        <v>2018.380430320723</v>
      </c>
      <c r="AM24" s="280">
        <f t="shared" si="14"/>
        <v>279.16797979269916</v>
      </c>
      <c r="AN24" s="280">
        <v>0</v>
      </c>
      <c r="AO24" s="281">
        <f>SUM(AF24:AM24)</f>
        <v>8792.369110297861</v>
      </c>
      <c r="AS24" s="271" t="s">
        <v>11</v>
      </c>
      <c r="AT24" s="271" t="s">
        <v>305</v>
      </c>
      <c r="AU24" s="518">
        <f>upstream!F24</f>
        <v>0.95</v>
      </c>
      <c r="AV24" s="519">
        <f t="shared" si="11"/>
        <v>5.0000000000000044E-2</v>
      </c>
      <c r="AW24" s="520">
        <f t="shared" si="12"/>
        <v>0.95031550322799874</v>
      </c>
      <c r="AX24" s="521">
        <f>upstream!H24/upstream!J24</f>
        <v>4.9684496772001215E-2</v>
      </c>
      <c r="BC24" s="683" t="s">
        <v>551</v>
      </c>
      <c r="BE24" s="272" t="s">
        <v>544</v>
      </c>
      <c r="BF24" s="684">
        <f>BG15+BG21</f>
        <v>1166.618216889729</v>
      </c>
      <c r="BH24" s="685">
        <f>BF24*BG26</f>
        <v>947.29399211446002</v>
      </c>
      <c r="BI24" s="272" t="s">
        <v>550</v>
      </c>
      <c r="BR24" s="272" t="s">
        <v>18</v>
      </c>
      <c r="BS24" s="408" t="s">
        <v>42</v>
      </c>
      <c r="BT24" s="501">
        <f>end_use!G7</f>
        <v>0.95</v>
      </c>
      <c r="BU24" s="265">
        <f>end_use!H7</f>
        <v>264.14836117574691</v>
      </c>
      <c r="BV24" s="321">
        <f>end_use!I7</f>
        <v>250.94094311695955</v>
      </c>
    </row>
    <row r="25" spans="1:75">
      <c r="A25" s="421" t="s">
        <v>130</v>
      </c>
      <c r="B25" s="510">
        <f>SUM(B2:B24)+upstream!C2</f>
        <v>726.05000000000007</v>
      </c>
      <c r="C25" s="68">
        <f>SUM(C2:C24)+upstream!M2</f>
        <v>5753.614963352793</v>
      </c>
      <c r="D25" s="68">
        <f t="shared" ref="D25:W25" si="15">SUM(D2:D24)</f>
        <v>1025.0311764705882</v>
      </c>
      <c r="E25" s="68">
        <f t="shared" si="15"/>
        <v>6812.7419894677805</v>
      </c>
      <c r="F25" s="68">
        <f t="shared" si="15"/>
        <v>2100.5073743431085</v>
      </c>
      <c r="G25" s="68">
        <f t="shared" si="15"/>
        <v>7353.6400481327937</v>
      </c>
      <c r="H25" s="68">
        <f t="shared" si="15"/>
        <v>2280.5650643772769</v>
      </c>
      <c r="I25" s="68">
        <f t="shared" si="15"/>
        <v>5688.0630606452178</v>
      </c>
      <c r="J25" s="68">
        <f t="shared" si="15"/>
        <v>2396.1999836777486</v>
      </c>
      <c r="K25" s="68">
        <f t="shared" si="15"/>
        <v>473.01778862950914</v>
      </c>
      <c r="L25" s="68">
        <f t="shared" si="15"/>
        <v>164.65119539743014</v>
      </c>
      <c r="M25" s="68">
        <f t="shared" si="15"/>
        <v>1140.9098265105984</v>
      </c>
      <c r="N25" s="68">
        <f t="shared" si="15"/>
        <v>782.46767619044488</v>
      </c>
      <c r="O25" s="68">
        <f t="shared" si="15"/>
        <v>357.94495708620519</v>
      </c>
      <c r="P25" s="68">
        <f t="shared" si="15"/>
        <v>1294.2503866662978</v>
      </c>
      <c r="Q25" s="68">
        <f t="shared" si="15"/>
        <v>2033.8220361898971</v>
      </c>
      <c r="R25" s="68">
        <f t="shared" si="15"/>
        <v>1057.3436439892332</v>
      </c>
      <c r="S25" s="68">
        <f t="shared" si="15"/>
        <v>649.36016260368729</v>
      </c>
      <c r="T25" s="68">
        <f t="shared" si="15"/>
        <v>785.08375103274352</v>
      </c>
      <c r="U25" s="68">
        <f t="shared" si="15"/>
        <v>674.96071970258106</v>
      </c>
      <c r="V25" s="68">
        <f t="shared" si="15"/>
        <v>2018.380430320723</v>
      </c>
      <c r="W25" s="68">
        <f t="shared" si="15"/>
        <v>279.16797979269916</v>
      </c>
      <c r="X25" s="420">
        <f>end_use!P10</f>
        <v>9021.0811325915711</v>
      </c>
      <c r="Y25" s="71"/>
      <c r="Z25" s="71"/>
      <c r="AA25" s="71"/>
      <c r="AS25" s="271" t="s">
        <v>12</v>
      </c>
      <c r="AT25" s="271" t="s">
        <v>148</v>
      </c>
      <c r="AU25" s="522">
        <f>upstream!F25</f>
        <v>0.95</v>
      </c>
      <c r="AV25" s="523">
        <f t="shared" si="11"/>
        <v>5.0000000000000044E-2</v>
      </c>
      <c r="AW25" s="524">
        <f t="shared" si="12"/>
        <v>0.95031550322799874</v>
      </c>
      <c r="AX25" s="525">
        <f>upstream!H25/upstream!J25</f>
        <v>4.9684496772001215E-2</v>
      </c>
      <c r="BC25" s="270"/>
      <c r="BD25" s="271"/>
      <c r="BE25" s="272" t="s">
        <v>545</v>
      </c>
      <c r="BF25" s="686">
        <f>BI15+BI21</f>
        <v>1526.7815824340389</v>
      </c>
      <c r="BH25" s="689">
        <f>BF26-BH24</f>
        <v>62.706007885539975</v>
      </c>
      <c r="BI25" s="272" t="s">
        <v>548</v>
      </c>
      <c r="BR25" s="272" t="s">
        <v>19</v>
      </c>
      <c r="BS25" s="408" t="s">
        <v>43</v>
      </c>
      <c r="BT25" s="501">
        <f>end_use!G8</f>
        <v>0.36599999999999999</v>
      </c>
      <c r="BU25" s="265">
        <f>end_use!H8</f>
        <v>1699.8356289584726</v>
      </c>
      <c r="BV25" s="321">
        <f>end_use!I8</f>
        <v>622.13984019880093</v>
      </c>
    </row>
    <row r="26" spans="1:75">
      <c r="B26" s="265"/>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E26" s="401" t="s">
        <v>618</v>
      </c>
      <c r="AO26" s="265"/>
      <c r="AZ26" s="270"/>
      <c r="BA26" s="270"/>
      <c r="BB26" s="270"/>
      <c r="BC26" s="270"/>
      <c r="BD26" s="271"/>
      <c r="BE26" s="271" t="s">
        <v>546</v>
      </c>
      <c r="BF26" s="686">
        <f>upstream!E8</f>
        <v>1010</v>
      </c>
      <c r="BG26" s="690">
        <v>0.81200000000000006</v>
      </c>
      <c r="BH26" s="272" t="s">
        <v>549</v>
      </c>
      <c r="BJ26" s="270"/>
      <c r="BK26" s="270"/>
      <c r="BR26" s="272" t="s">
        <v>20</v>
      </c>
      <c r="BS26" s="272" t="s">
        <v>44</v>
      </c>
      <c r="BT26" s="501">
        <f>end_use!G9</f>
        <v>0.95</v>
      </c>
      <c r="BU26" s="265">
        <f>end_use!H9</f>
        <v>261.68704052518302</v>
      </c>
      <c r="BV26" s="321">
        <f>end_use!I9</f>
        <v>248.60268849892387</v>
      </c>
    </row>
    <row r="27" spans="1:75">
      <c r="A27" s="64" t="s">
        <v>136</v>
      </c>
      <c r="B27" s="65" cm="1">
        <f t="array" ref="B27:W27">TRANSPOSE(AA2:AA23)</f>
        <v>726.05000000000007</v>
      </c>
      <c r="C27" s="65">
        <v>5753.614963352793</v>
      </c>
      <c r="D27" s="65">
        <v>1025.0311764705882</v>
      </c>
      <c r="E27" s="65">
        <v>6812.7419894677805</v>
      </c>
      <c r="F27" s="65">
        <v>2100.5073743431085</v>
      </c>
      <c r="G27" s="65">
        <v>7353.6400481327937</v>
      </c>
      <c r="H27" s="65">
        <v>2280.5650643772769</v>
      </c>
      <c r="I27" s="65">
        <v>5688.0630606452169</v>
      </c>
      <c r="J27" s="65">
        <v>2396.1999836777482</v>
      </c>
      <c r="K27" s="65">
        <v>473.01778862950914</v>
      </c>
      <c r="L27" s="65">
        <v>164.65119539743014</v>
      </c>
      <c r="M27" s="65">
        <v>1140.9098265105984</v>
      </c>
      <c r="N27" s="65">
        <v>782.46767619044488</v>
      </c>
      <c r="O27" s="65">
        <v>357.94495708620519</v>
      </c>
      <c r="P27" s="65">
        <v>1294.2503866662978</v>
      </c>
      <c r="Q27" s="65">
        <v>2033.8220361898971</v>
      </c>
      <c r="R27" s="65">
        <v>1057.3436439892332</v>
      </c>
      <c r="S27" s="65">
        <v>649.36016260368729</v>
      </c>
      <c r="T27" s="65">
        <v>785.08375103274352</v>
      </c>
      <c r="U27" s="65">
        <v>674.96071970258106</v>
      </c>
      <c r="V27" s="65">
        <v>2018.380430320723</v>
      </c>
      <c r="W27" s="65">
        <v>279.16797979269916</v>
      </c>
      <c r="X27" s="265">
        <f>SUM(X16:X24)</f>
        <v>9021.0811325915711</v>
      </c>
      <c r="AA27" s="265"/>
      <c r="AE27" s="272" t="s">
        <v>340</v>
      </c>
      <c r="AF27" s="273">
        <f t="shared" ref="AF27:AM27" si="16">AF24</f>
        <v>1294.2503866662978</v>
      </c>
      <c r="AG27" s="274">
        <f t="shared" si="16"/>
        <v>2033.8220361898971</v>
      </c>
      <c r="AH27" s="274">
        <f t="shared" si="16"/>
        <v>1057.3436439892332</v>
      </c>
      <c r="AI27" s="274">
        <f t="shared" si="16"/>
        <v>649.36016260368729</v>
      </c>
      <c r="AJ27" s="274">
        <f t="shared" si="16"/>
        <v>785.08375103274352</v>
      </c>
      <c r="AK27" s="274">
        <f t="shared" si="16"/>
        <v>674.96071970258106</v>
      </c>
      <c r="AL27" s="274">
        <f t="shared" si="16"/>
        <v>2018.380430320723</v>
      </c>
      <c r="AM27" s="274">
        <f t="shared" si="16"/>
        <v>279.16797979269916</v>
      </c>
      <c r="AN27" s="275">
        <f>SUM(AF27:AM27)</f>
        <v>8792.369110297861</v>
      </c>
      <c r="AO27" s="265"/>
      <c r="AQ27" s="401" t="s">
        <v>539</v>
      </c>
      <c r="AR27" s="401" t="s">
        <v>346</v>
      </c>
      <c r="AS27" s="271" t="s">
        <v>159</v>
      </c>
      <c r="AT27" s="485" t="s">
        <v>389</v>
      </c>
      <c r="AU27" s="271" t="s">
        <v>138</v>
      </c>
      <c r="AV27" s="270" t="s">
        <v>134</v>
      </c>
      <c r="AW27" s="271" t="s">
        <v>296</v>
      </c>
      <c r="AX27" s="270" t="s">
        <v>77</v>
      </c>
      <c r="AY27" s="270" t="s">
        <v>137</v>
      </c>
      <c r="BE27" s="272" t="s">
        <v>358</v>
      </c>
      <c r="BF27" s="687">
        <f>BF26/(BF24+BF25)</f>
        <v>0.37499074599084053</v>
      </c>
      <c r="BG27" s="688">
        <f>BF26/BF24</f>
        <v>0.86575023891939373</v>
      </c>
      <c r="BH27" s="272" t="s">
        <v>547</v>
      </c>
      <c r="BS27" s="272" t="s">
        <v>343</v>
      </c>
      <c r="BT27" s="502">
        <f>BV27/BU27</f>
        <v>0.77461310770924641</v>
      </c>
      <c r="BU27" s="316">
        <f>SUM(BU19:BU26)</f>
        <v>5660.0809464487138</v>
      </c>
      <c r="BV27" s="317">
        <f>SUM(BV19:BV26)</f>
        <v>4384.3728918145307</v>
      </c>
    </row>
    <row r="28" spans="1:75">
      <c r="AE28" s="272" t="s">
        <v>342</v>
      </c>
      <c r="AF28" s="668">
        <f>downstream!O33</f>
        <v>0.90650003626646747</v>
      </c>
      <c r="AG28" s="669">
        <f>downstream!P33</f>
        <v>0.87432486131705645</v>
      </c>
      <c r="AH28" s="669">
        <f>downstream!Q33</f>
        <v>0.82770805193851615</v>
      </c>
      <c r="AI28" s="669">
        <f>downstream!R33</f>
        <v>0.88530034679451486</v>
      </c>
      <c r="AJ28" s="669">
        <f>downstream!S33</f>
        <v>0.92509491069170335</v>
      </c>
      <c r="AK28" s="669">
        <f>downstream!T33</f>
        <v>0.90632945815127952</v>
      </c>
      <c r="AL28" s="669">
        <f>downstream!U33</f>
        <v>0.84217824253529006</v>
      </c>
      <c r="AM28" s="669">
        <f>downstream!V33</f>
        <v>0.97180510373928608</v>
      </c>
      <c r="AN28" s="670">
        <f>AN29/AN27</f>
        <v>0.8769714325511645</v>
      </c>
      <c r="AS28" s="271" t="s">
        <v>7</v>
      </c>
      <c r="AT28" s="425" t="s">
        <v>31</v>
      </c>
      <c r="AU28" s="266">
        <f>AY2</f>
        <v>5688.0630606452178</v>
      </c>
      <c r="AV28" s="434">
        <f>upstream!G13</f>
        <v>853.20945909678267</v>
      </c>
      <c r="AW28" s="266">
        <f>upstream!E13</f>
        <v>4834.8536015484351</v>
      </c>
      <c r="AX28" s="434">
        <f>upstream!H13</f>
        <v>61.046131332682258</v>
      </c>
      <c r="AY28" s="417">
        <f>upstream!J13</f>
        <v>4895.8997328811174</v>
      </c>
    </row>
    <row r="29" spans="1:75">
      <c r="A29" s="300" t="s">
        <v>289</v>
      </c>
      <c r="AE29" s="272" t="s">
        <v>341</v>
      </c>
      <c r="AF29" s="276" cm="1">
        <f t="array" ref="AF29:AM29">TRANSPOSE(end_use!M2:M9)</f>
        <v>1173.2380224508886</v>
      </c>
      <c r="AG29" s="277">
        <v>1778.221169735305</v>
      </c>
      <c r="AH29" s="277">
        <v>875.17184779590013</v>
      </c>
      <c r="AI29" s="277">
        <v>574.8787771475869</v>
      </c>
      <c r="AJ29" s="277">
        <v>726.27698254714335</v>
      </c>
      <c r="AK29" s="277">
        <v>611.73678336143792</v>
      </c>
      <c r="AL29" s="277">
        <v>1699.8360835751289</v>
      </c>
      <c r="AM29" s="277">
        <v>271.29686756313095</v>
      </c>
      <c r="AN29" s="278">
        <f>SUM(_xlfn.ANCHORARRAY(AF29))</f>
        <v>7710.6565341765227</v>
      </c>
      <c r="AS29" s="271" t="s">
        <v>8</v>
      </c>
      <c r="AT29" s="425" t="s">
        <v>32</v>
      </c>
      <c r="AU29" s="267">
        <f>AY3</f>
        <v>2396.1999836777486</v>
      </c>
      <c r="AV29" s="436">
        <f>upstream!G14</f>
        <v>479.23999673554954</v>
      </c>
      <c r="AW29" s="267">
        <f>upstream!E14</f>
        <v>1916.9599869421991</v>
      </c>
      <c r="AX29" s="436">
        <f>upstream!H14</f>
        <v>24.204040239169181</v>
      </c>
      <c r="AY29" s="418">
        <f>upstream!J14</f>
        <v>1941.1640271813683</v>
      </c>
      <c r="BD29" s="270"/>
      <c r="BE29" s="271" t="s">
        <v>104</v>
      </c>
      <c r="BF29" s="271" t="s">
        <v>270</v>
      </c>
      <c r="BG29" s="448"/>
    </row>
    <row r="30" spans="1:75">
      <c r="A30" s="283" t="s">
        <v>290</v>
      </c>
      <c r="B30" s="283"/>
      <c r="C30" s="283"/>
      <c r="D30" s="283"/>
      <c r="E30" s="283"/>
      <c r="F30" s="283"/>
      <c r="G30" s="283"/>
      <c r="H30" s="283"/>
      <c r="I30" s="283"/>
      <c r="J30" s="283"/>
      <c r="K30" s="283"/>
      <c r="L30" s="283"/>
      <c r="M30" s="283"/>
      <c r="N30" s="283"/>
      <c r="O30" s="283"/>
      <c r="AE30" s="272" t="s">
        <v>388</v>
      </c>
      <c r="AF30" s="279" cm="1">
        <f t="array" ref="AF30:AM30">TRANSPOSE(Raw!AF16:AF23)</f>
        <v>121.01236421540921</v>
      </c>
      <c r="AG30" s="280">
        <v>255.60086645459205</v>
      </c>
      <c r="AH30" s="280">
        <v>182.17179619333308</v>
      </c>
      <c r="AI30" s="280">
        <v>74.481385456100384</v>
      </c>
      <c r="AJ30" s="280">
        <v>58.806768485600173</v>
      </c>
      <c r="AK30" s="280">
        <v>63.223936341143144</v>
      </c>
      <c r="AL30" s="280">
        <v>318.54434674559411</v>
      </c>
      <c r="AM30" s="280">
        <v>7.8711122295682117</v>
      </c>
      <c r="AN30" s="281">
        <f>SUM(_xlfn.ANCHORARRAY(AF30))</f>
        <v>1081.7125761213401</v>
      </c>
      <c r="AS30" s="271" t="s">
        <v>9</v>
      </c>
      <c r="AT30" s="425" t="s">
        <v>146</v>
      </c>
      <c r="AU30" s="267">
        <f>AY4</f>
        <v>473.01778862950914</v>
      </c>
      <c r="AV30" s="436">
        <f>upstream!G15</f>
        <v>94.603557725901794</v>
      </c>
      <c r="AW30" s="267">
        <f>upstream!E15</f>
        <v>378.41423090360735</v>
      </c>
      <c r="AX30" s="436">
        <f>upstream!H15</f>
        <v>4.7779574609041333</v>
      </c>
      <c r="AY30" s="418">
        <f>upstream!J15</f>
        <v>383.19218836451148</v>
      </c>
      <c r="BD30" s="270" t="s">
        <v>394</v>
      </c>
      <c r="BE30" s="486">
        <f>BG15+BI15+BG21+BI21</f>
        <v>2693.3997993237681</v>
      </c>
      <c r="BF30" s="417">
        <f>AU32+AU38</f>
        <v>11003.254488137154</v>
      </c>
      <c r="BG30" s="448"/>
      <c r="BQ30" s="401" t="s">
        <v>622</v>
      </c>
      <c r="BR30" s="401" t="s">
        <v>558</v>
      </c>
    </row>
    <row r="31" spans="1:75">
      <c r="A31" s="283" t="s">
        <v>291</v>
      </c>
      <c r="AF31" s="265">
        <f>AF27-AF27*AF28</f>
        <v>121.01236421540921</v>
      </c>
      <c r="AG31" s="265">
        <f t="shared" ref="AG31:AM31" si="17">AG27-AG27*AG28</f>
        <v>255.60086645459205</v>
      </c>
      <c r="AH31" s="265">
        <f t="shared" si="17"/>
        <v>182.17179619333308</v>
      </c>
      <c r="AI31" s="265">
        <f t="shared" si="17"/>
        <v>74.481385456100384</v>
      </c>
      <c r="AJ31" s="265">
        <f t="shared" si="17"/>
        <v>58.806768485600173</v>
      </c>
      <c r="AK31" s="265">
        <f t="shared" si="17"/>
        <v>63.223936341143144</v>
      </c>
      <c r="AL31" s="265">
        <f t="shared" si="17"/>
        <v>318.54434674559411</v>
      </c>
      <c r="AM31" s="265">
        <f t="shared" si="17"/>
        <v>7.8711122295682117</v>
      </c>
      <c r="AS31" s="271" t="s">
        <v>78</v>
      </c>
      <c r="AT31" s="425" t="s">
        <v>147</v>
      </c>
      <c r="AU31" s="267">
        <f>AY5</f>
        <v>164.65119539743014</v>
      </c>
      <c r="AV31" s="436">
        <f>upstream!G16</f>
        <v>32.930239079486029</v>
      </c>
      <c r="AW31" s="267">
        <f>upstream!E16</f>
        <v>131.72095631794411</v>
      </c>
      <c r="AX31" s="436">
        <f>upstream!H16</f>
        <v>1.6631433878528297</v>
      </c>
      <c r="AY31" s="418">
        <f>upstream!J16</f>
        <v>133.38409970579696</v>
      </c>
      <c r="BC31" s="270"/>
      <c r="BD31" s="270" t="s">
        <v>83</v>
      </c>
      <c r="BE31" s="487">
        <f>upstream!E8</f>
        <v>1010</v>
      </c>
      <c r="BF31" s="418">
        <f>AY32+AY38</f>
        <v>9634.2051125100716</v>
      </c>
      <c r="BG31" s="270"/>
      <c r="BQ31" s="270"/>
      <c r="BR31" s="270" t="s">
        <v>159</v>
      </c>
      <c r="BS31" s="272" t="s">
        <v>410</v>
      </c>
      <c r="BT31" s="272" t="s">
        <v>509</v>
      </c>
      <c r="BU31" s="272" t="s">
        <v>511</v>
      </c>
      <c r="BV31" s="272" t="s">
        <v>510</v>
      </c>
    </row>
    <row r="32" spans="1:75">
      <c r="A32" s="283" t="s">
        <v>292</v>
      </c>
      <c r="AS32" s="271"/>
      <c r="AT32" s="271" t="s">
        <v>348</v>
      </c>
      <c r="AU32" s="268">
        <f>SUM(AU28:AU31)</f>
        <v>8721.9320283499055</v>
      </c>
      <c r="AV32" s="416">
        <f>SUM(AV28:AV31)</f>
        <v>1459.9832526377199</v>
      </c>
      <c r="AW32" s="268">
        <f>SUM(AW28:AW31)</f>
        <v>7261.9487757121851</v>
      </c>
      <c r="AX32" s="416">
        <f>SUM(AX28:AX31)</f>
        <v>91.691272420608399</v>
      </c>
      <c r="AY32" s="416">
        <f>SUM(AY28:AY31)</f>
        <v>7353.6400481327946</v>
      </c>
      <c r="BC32" s="270"/>
      <c r="BD32" s="270" t="s">
        <v>134</v>
      </c>
      <c r="BE32" s="488">
        <f>BE30-BE31</f>
        <v>1683.3997993237681</v>
      </c>
      <c r="BF32" s="489">
        <f>AV32+AV38</f>
        <v>1574.0493756270826</v>
      </c>
      <c r="BG32" s="470">
        <f>BE32+BF32</f>
        <v>3257.4491749508506</v>
      </c>
      <c r="BL32" s="270"/>
      <c r="BM32" s="270"/>
      <c r="BN32" s="270"/>
      <c r="BO32" s="270"/>
      <c r="BP32" s="270"/>
      <c r="BQ32" s="270"/>
      <c r="BR32" s="272" t="s">
        <v>13</v>
      </c>
      <c r="BS32" s="408" t="s">
        <v>37</v>
      </c>
      <c r="BT32" s="402">
        <f>end_use!P2</f>
        <v>1421.1568131032652</v>
      </c>
      <c r="BU32" s="623">
        <f>end_use!R2</f>
        <v>-5.4832297646666139E-3</v>
      </c>
      <c r="BV32" s="624">
        <f>end_use!S2</f>
        <v>-7.7925293378665721</v>
      </c>
      <c r="BW32" s="622">
        <f>BT32*BU32</f>
        <v>-7.7925293378665721</v>
      </c>
    </row>
    <row r="33" spans="1:75">
      <c r="A33" s="283"/>
      <c r="AF33" s="272" t="str">
        <f t="shared" ref="AF33:AM33" si="18">AF13</f>
        <v>P1</v>
      </c>
      <c r="AG33" s="272" t="str">
        <f t="shared" si="18"/>
        <v>P2</v>
      </c>
      <c r="AH33" s="272" t="str">
        <f t="shared" si="18"/>
        <v>P3</v>
      </c>
      <c r="AI33" s="272" t="str">
        <f t="shared" si="18"/>
        <v>P4</v>
      </c>
      <c r="AJ33" s="272" t="str">
        <f t="shared" si="18"/>
        <v>P5</v>
      </c>
      <c r="AK33" s="272" t="str">
        <f t="shared" si="18"/>
        <v>P6</v>
      </c>
      <c r="AL33" s="272" t="str">
        <f t="shared" si="18"/>
        <v>P7</v>
      </c>
      <c r="AM33" s="272" t="str">
        <f t="shared" si="18"/>
        <v>P8</v>
      </c>
      <c r="AR33" s="401"/>
      <c r="AS33" s="270"/>
      <c r="AT33" s="270"/>
      <c r="AU33" s="270"/>
      <c r="AV33" s="270"/>
      <c r="AW33" s="270"/>
      <c r="AX33" s="270"/>
      <c r="AY33" s="270"/>
      <c r="BC33" s="270"/>
      <c r="BD33" s="271"/>
      <c r="BE33" s="271"/>
      <c r="BF33" s="449"/>
      <c r="BL33" s="270"/>
      <c r="BM33" s="270"/>
      <c r="BN33" s="270"/>
      <c r="BO33" s="270"/>
      <c r="BP33" s="270"/>
      <c r="BQ33" s="270"/>
      <c r="BR33" s="272" t="s">
        <v>14</v>
      </c>
      <c r="BS33" s="408" t="s">
        <v>154</v>
      </c>
      <c r="BT33" s="484">
        <f>end_use!P3</f>
        <v>1675.6144118710981</v>
      </c>
      <c r="BU33" s="625">
        <f>end_use!R3</f>
        <v>1.7890499022517575E-2</v>
      </c>
      <c r="BV33" s="626">
        <f>end_use!S3</f>
        <v>29.977577997696244</v>
      </c>
      <c r="BW33" s="622">
        <f t="shared" ref="BW33:BW39" si="19">BT33*BU33</f>
        <v>29.977577997696244</v>
      </c>
    </row>
    <row r="34" spans="1:75">
      <c r="AE34" s="401" t="s">
        <v>619</v>
      </c>
      <c r="AF34" s="272" t="str">
        <f t="shared" ref="AF34:AM34" si="20">AF1</f>
        <v>Construction</v>
      </c>
      <c r="AG34" s="272" t="str">
        <f t="shared" si="20"/>
        <v>Trans. Auto</v>
      </c>
      <c r="AH34" s="272" t="str">
        <f t="shared" si="20"/>
        <v>Trans. Other</v>
      </c>
      <c r="AI34" s="272" t="str">
        <f t="shared" si="20"/>
        <v>Durables</v>
      </c>
      <c r="AJ34" s="272" t="str">
        <f t="shared" si="20"/>
        <v>Electrical</v>
      </c>
      <c r="AK34" s="272" t="str">
        <f t="shared" si="20"/>
        <v>Machinery</v>
      </c>
      <c r="AL34" s="272" t="str">
        <f t="shared" si="20"/>
        <v>Container</v>
      </c>
      <c r="AM34" s="272" t="str">
        <f t="shared" si="20"/>
        <v>Other</v>
      </c>
      <c r="AN34" s="272" t="s">
        <v>153</v>
      </c>
      <c r="AQ34" s="401" t="s">
        <v>540</v>
      </c>
      <c r="AR34" s="401" t="s">
        <v>347</v>
      </c>
      <c r="AS34" s="271" t="s">
        <v>159</v>
      </c>
      <c r="AT34" s="485" t="s">
        <v>389</v>
      </c>
      <c r="AU34" s="271" t="s">
        <v>138</v>
      </c>
      <c r="AV34" s="270" t="s">
        <v>134</v>
      </c>
      <c r="AW34" s="271" t="s">
        <v>296</v>
      </c>
      <c r="AX34" s="270" t="s">
        <v>77</v>
      </c>
      <c r="AY34" s="270" t="s">
        <v>137</v>
      </c>
      <c r="BC34" s="270"/>
      <c r="BD34" s="270"/>
      <c r="BE34" s="270"/>
      <c r="BF34" s="449"/>
      <c r="BM34" s="270"/>
      <c r="BN34" s="270"/>
      <c r="BO34" s="270"/>
      <c r="BP34" s="270"/>
      <c r="BQ34" s="270"/>
      <c r="BR34" s="272" t="s">
        <v>15</v>
      </c>
      <c r="BS34" s="408" t="s">
        <v>155</v>
      </c>
      <c r="BT34" s="484">
        <f>end_use!P4</f>
        <v>891.96307985131421</v>
      </c>
      <c r="BU34" s="625">
        <f>end_use!R4</f>
        <v>1.9421495818101736E-2</v>
      </c>
      <c r="BV34" s="626">
        <f>end_use!S4</f>
        <v>17.323257225233444</v>
      </c>
      <c r="BW34" s="622">
        <f t="shared" si="19"/>
        <v>17.323257225233444</v>
      </c>
    </row>
    <row r="35" spans="1:75">
      <c r="AE35" s="272" t="s">
        <v>294</v>
      </c>
      <c r="AF35" s="273" cm="1">
        <f t="array" ref="AF35:AM35">TRANSPOSE(end_use!M2:M9)</f>
        <v>1173.2380224508886</v>
      </c>
      <c r="AG35" s="274">
        <v>1778.221169735305</v>
      </c>
      <c r="AH35" s="274">
        <v>875.17184779590013</v>
      </c>
      <c r="AI35" s="274">
        <v>574.8787771475869</v>
      </c>
      <c r="AJ35" s="274">
        <v>726.27698254714335</v>
      </c>
      <c r="AK35" s="274">
        <v>611.73678336143792</v>
      </c>
      <c r="AL35" s="274">
        <v>1699.8360835751289</v>
      </c>
      <c r="AM35" s="274">
        <v>271.29686756313095</v>
      </c>
      <c r="AN35" s="275">
        <f>end_use!M10</f>
        <v>7710.6565341765227</v>
      </c>
      <c r="AO35" s="282">
        <f>SUM(_xlfn.ANCHORARRAY(AF35))</f>
        <v>7710.6565341765227</v>
      </c>
      <c r="AS35" s="271" t="s">
        <v>10</v>
      </c>
      <c r="AT35" s="425" t="s">
        <v>149</v>
      </c>
      <c r="AU35" s="266">
        <f>AY6</f>
        <v>1140.9098265105984</v>
      </c>
      <c r="AV35" s="434">
        <f>upstream!G23</f>
        <v>57.045491325530065</v>
      </c>
      <c r="AW35" s="266">
        <f>Raw!M24</f>
        <v>1083.8643351850683</v>
      </c>
      <c r="AX35" s="434">
        <f>upstream!H23</f>
        <v>56.66671108686505</v>
      </c>
      <c r="AY35" s="417">
        <f>upstream!J23</f>
        <v>1140.5310462719333</v>
      </c>
      <c r="BM35" s="270"/>
      <c r="BN35" s="270"/>
      <c r="BO35" s="270"/>
      <c r="BP35" s="270"/>
      <c r="BQ35" s="270"/>
      <c r="BR35" s="272" t="s">
        <v>16</v>
      </c>
      <c r="BS35" s="408" t="s">
        <v>40</v>
      </c>
      <c r="BT35" s="484">
        <f>end_use!P5</f>
        <v>1424.6993729853587</v>
      </c>
      <c r="BU35" s="625">
        <f>end_use!R5</f>
        <v>1.4834748508011274E-2</v>
      </c>
      <c r="BV35" s="626">
        <f>end_use!S5</f>
        <v>21.135056897759146</v>
      </c>
      <c r="BW35" s="622">
        <f t="shared" si="19"/>
        <v>21.135056897759146</v>
      </c>
    </row>
    <row r="36" spans="1:75">
      <c r="A36" s="272" t="s">
        <v>159</v>
      </c>
      <c r="B36" s="272" t="s">
        <v>449</v>
      </c>
      <c r="C36" s="272" t="s">
        <v>450</v>
      </c>
      <c r="D36" s="272" t="s">
        <v>451</v>
      </c>
      <c r="E36" s="272" t="s">
        <v>452</v>
      </c>
      <c r="AE36" s="272" t="s">
        <v>134</v>
      </c>
      <c r="AF36" s="276" cm="1">
        <f t="array" ref="AF36:AM36">TRANSPOSE(end_use!N2:N9)</f>
        <v>286.68854752738952</v>
      </c>
      <c r="AG36" s="277">
        <v>477.63227577285102</v>
      </c>
      <c r="AH36" s="277">
        <v>203.78376210957063</v>
      </c>
      <c r="AI36" s="277">
        <v>975.8584510825807</v>
      </c>
      <c r="AJ36" s="277">
        <v>406.90129810000002</v>
      </c>
      <c r="AK36" s="277">
        <v>194.71805800000001</v>
      </c>
      <c r="AL36" s="277">
        <v>0</v>
      </c>
      <c r="AM36" s="277">
        <v>0</v>
      </c>
      <c r="AN36" s="278">
        <f>end_use!N10</f>
        <v>2545.5823925923919</v>
      </c>
      <c r="AO36" s="282">
        <f>SUM(_xlfn.ANCHORARRAY(AF36))</f>
        <v>2545.5823925923919</v>
      </c>
      <c r="AS36" s="271" t="s">
        <v>11</v>
      </c>
      <c r="AT36" s="425" t="s">
        <v>305</v>
      </c>
      <c r="AU36" s="267">
        <f>AY7</f>
        <v>782.46767619044488</v>
      </c>
      <c r="AV36" s="436">
        <f>upstream!G24</f>
        <v>39.123383809522238</v>
      </c>
      <c r="AW36" s="267">
        <f>Raw!N24</f>
        <v>743.34429238092264</v>
      </c>
      <c r="AX36" s="436">
        <f>upstream!H24</f>
        <v>38.86360579179631</v>
      </c>
      <c r="AY36" s="418">
        <f>upstream!J24</f>
        <v>782.20789817271896</v>
      </c>
      <c r="BD36" s="526" t="s">
        <v>410</v>
      </c>
      <c r="BE36" s="526" t="s">
        <v>588</v>
      </c>
      <c r="BF36" s="526" t="s">
        <v>134</v>
      </c>
      <c r="BG36" s="526" t="s">
        <v>153</v>
      </c>
      <c r="BH36" s="272" t="s">
        <v>358</v>
      </c>
      <c r="BI36" s="272" t="s">
        <v>359</v>
      </c>
      <c r="BM36" s="270"/>
      <c r="BN36" s="270"/>
      <c r="BO36" s="270"/>
      <c r="BP36" s="270"/>
      <c r="BQ36" s="270"/>
      <c r="BR36" s="272" t="s">
        <v>17</v>
      </c>
      <c r="BS36" s="408" t="s">
        <v>41</v>
      </c>
      <c r="BT36" s="484">
        <f>end_use!P6</f>
        <v>927.31958284101847</v>
      </c>
      <c r="BU36" s="625">
        <f>end_use!R6</f>
        <v>1.8814210505345316E-2</v>
      </c>
      <c r="BV36" s="626">
        <f>end_use!S6</f>
        <v>17.446785837299924</v>
      </c>
      <c r="BW36" s="622">
        <f t="shared" si="19"/>
        <v>17.446785837299924</v>
      </c>
    </row>
    <row r="37" spans="1:75">
      <c r="A37" s="560" t="str">
        <f>A2</f>
        <v>B</v>
      </c>
      <c r="B37" s="563">
        <f>Process!Q2</f>
        <v>0.94791721522986983</v>
      </c>
      <c r="C37" s="564">
        <f>Process!K2</f>
        <v>3.0000000000000027E-2</v>
      </c>
      <c r="D37" s="564">
        <f>Process!I2</f>
        <v>15.81</v>
      </c>
      <c r="E37" s="564">
        <f>Process!P2</f>
        <v>1.4471301566479844</v>
      </c>
      <c r="AE37" s="272" t="s">
        <v>77</v>
      </c>
      <c r="AF37" s="279" cm="1">
        <f t="array" ref="AF37:AM37">TRANSPOSE(end_use!O2:O9)</f>
        <v>38.769756875012874</v>
      </c>
      <c r="AG37" s="280">
        <v>580.23903363705801</v>
      </c>
      <c r="AH37" s="280">
        <v>186.9925300541565</v>
      </c>
      <c r="AI37" s="280">
        <v>126.03785524480894</v>
      </c>
      <c r="AJ37" s="280">
        <v>205.85869780612489</v>
      </c>
      <c r="AK37" s="280">
        <v>97.259920560180831</v>
      </c>
      <c r="AL37" s="280">
        <v>0</v>
      </c>
      <c r="AM37" s="280">
        <v>0</v>
      </c>
      <c r="AN37" s="281">
        <f>end_use!O10</f>
        <v>1235.1577941773421</v>
      </c>
      <c r="AO37" s="282">
        <f>SUM(_xlfn.ANCHORARRAY(AF37))</f>
        <v>1235.1577941773421</v>
      </c>
      <c r="AS37" s="271" t="s">
        <v>12</v>
      </c>
      <c r="AT37" s="425" t="s">
        <v>148</v>
      </c>
      <c r="AU37" s="267">
        <f>AY8</f>
        <v>357.94495708620519</v>
      </c>
      <c r="AV37" s="436">
        <f>upstream!G25</f>
        <v>17.897247854310251</v>
      </c>
      <c r="AW37" s="267">
        <f>Raw!O24</f>
        <v>340.04770923189494</v>
      </c>
      <c r="AX37" s="436">
        <f>upstream!H25</f>
        <v>17.778410700730237</v>
      </c>
      <c r="AY37" s="418">
        <f>upstream!J25</f>
        <v>357.8261199326252</v>
      </c>
      <c r="BD37" s="526" t="s">
        <v>589</v>
      </c>
      <c r="BE37" s="715">
        <f>upstream!W35</f>
        <v>947.2939921144598</v>
      </c>
      <c r="BF37" s="716">
        <f>upstream!Y35</f>
        <v>219.32422477526916</v>
      </c>
      <c r="BG37" s="716">
        <f>SUM(BE37:BF37)</f>
        <v>1166.618216889729</v>
      </c>
      <c r="BH37" s="722">
        <f>BE37/BG37</f>
        <v>0.81199999999999994</v>
      </c>
      <c r="BI37" s="723">
        <f>1-BH37</f>
        <v>0.18800000000000006</v>
      </c>
      <c r="BM37" s="270"/>
      <c r="BN37" s="270"/>
      <c r="BO37" s="270"/>
      <c r="BP37" s="270"/>
      <c r="BQ37" s="270"/>
      <c r="BR37" s="272" t="s">
        <v>18</v>
      </c>
      <c r="BS37" s="408" t="s">
        <v>42</v>
      </c>
      <c r="BT37" s="484">
        <f>end_use!P7</f>
        <v>709.19492080125713</v>
      </c>
      <c r="BU37" s="625">
        <f>end_use!R7</f>
        <v>1.9298416439231934E-2</v>
      </c>
      <c r="BV37" s="626">
        <f>end_use!S7</f>
        <v>13.686338918210771</v>
      </c>
      <c r="BW37" s="622">
        <f t="shared" si="19"/>
        <v>13.686338918210771</v>
      </c>
    </row>
    <row r="38" spans="1:75">
      <c r="A38" s="560" t="str">
        <f t="shared" ref="A38:A58" si="21">A3</f>
        <v>S</v>
      </c>
      <c r="B38" s="563">
        <f>Process!Q3</f>
        <v>1</v>
      </c>
      <c r="C38" s="565">
        <f>Process!K3</f>
        <v>1</v>
      </c>
      <c r="D38" s="565">
        <f>Process!I3</f>
        <v>0.59726499999999993</v>
      </c>
      <c r="E38" s="561">
        <f>Process!P3</f>
        <v>7.2995097271470313E-2</v>
      </c>
      <c r="AE38" s="272" t="s">
        <v>295</v>
      </c>
      <c r="AF38" s="279" cm="1">
        <f t="array" ref="AF38:AM38">TRANSPOSE(end_use!P2:P9)</f>
        <v>1421.1568131032652</v>
      </c>
      <c r="AG38" s="280">
        <v>1675.6144118710981</v>
      </c>
      <c r="AH38" s="280">
        <v>891.96307985131421</v>
      </c>
      <c r="AI38" s="280">
        <v>1424.6993729853587</v>
      </c>
      <c r="AJ38" s="280">
        <v>927.31958284101847</v>
      </c>
      <c r="AK38" s="280">
        <v>709.19492080125713</v>
      </c>
      <c r="AL38" s="280">
        <v>1699.8360835751289</v>
      </c>
      <c r="AM38" s="280">
        <v>271.29686756313095</v>
      </c>
      <c r="AN38" s="281">
        <f>end_use!P10</f>
        <v>9021.0811325915711</v>
      </c>
      <c r="AO38" s="282">
        <f>SUM(_xlfn.ANCHORARRAY(AF38))</f>
        <v>9021.0811325915711</v>
      </c>
      <c r="AS38" s="270"/>
      <c r="AT38" s="270" t="s">
        <v>349</v>
      </c>
      <c r="AU38" s="268">
        <f>SUM(AU35:AU37)</f>
        <v>2281.3224597872486</v>
      </c>
      <c r="AV38" s="416">
        <f>SUM(AV35:AV37)</f>
        <v>114.06612298936255</v>
      </c>
      <c r="AW38" s="268">
        <f>SUM(AW35:AW37)</f>
        <v>2167.2563367978855</v>
      </c>
      <c r="AX38" s="416">
        <f>SUM(AX35:AX37)</f>
        <v>113.30872757939159</v>
      </c>
      <c r="AY38" s="416">
        <f>SUM(AY35:AY37)</f>
        <v>2280.5650643772774</v>
      </c>
      <c r="BD38" s="272" t="s">
        <v>180</v>
      </c>
      <c r="BE38" s="717">
        <f>upstream!W36</f>
        <v>62.706007885540146</v>
      </c>
      <c r="BF38" s="718">
        <f>upstream!Y36</f>
        <v>1464.0755745484987</v>
      </c>
      <c r="BG38" s="718">
        <f>SUM(BE38:BF38)</f>
        <v>1526.7815824340389</v>
      </c>
      <c r="BH38" s="721">
        <f>BE38/BG38</f>
        <v>4.1070712803315611E-2</v>
      </c>
      <c r="BI38" s="724">
        <f>1-BH38</f>
        <v>0.95892928719668435</v>
      </c>
      <c r="BM38" s="270"/>
      <c r="BN38" s="270"/>
      <c r="BO38" s="270"/>
      <c r="BP38" s="270"/>
      <c r="BQ38" s="270"/>
      <c r="BR38" s="272" t="s">
        <v>19</v>
      </c>
      <c r="BS38" s="408" t="s">
        <v>43</v>
      </c>
      <c r="BT38" s="484">
        <f>end_use!P8</f>
        <v>1699.8360835751289</v>
      </c>
      <c r="BU38" s="625">
        <f>end_use!R8</f>
        <v>3.3747386341089668E-6</v>
      </c>
      <c r="BV38" s="626">
        <f>end_use!S8</f>
        <v>5.7365025028934657E-3</v>
      </c>
      <c r="BW38" s="622">
        <f t="shared" si="19"/>
        <v>5.7365025028934657E-3</v>
      </c>
    </row>
    <row r="39" spans="1:75">
      <c r="A39" s="560" t="str">
        <f t="shared" si="21"/>
        <v>E</v>
      </c>
      <c r="B39" s="563">
        <f>Process!Q4</f>
        <v>0.98533588361444391</v>
      </c>
      <c r="C39" s="564">
        <f>Process!K4</f>
        <v>1</v>
      </c>
      <c r="D39" s="564">
        <f>Process!I4</f>
        <v>53.85</v>
      </c>
      <c r="E39" s="564">
        <f>Process!P4</f>
        <v>5.4091195734075228</v>
      </c>
      <c r="AF39" s="282">
        <f>AF35+AF36-AF37</f>
        <v>1421.1568131032652</v>
      </c>
      <c r="AG39" s="282">
        <f t="shared" ref="AG39:AM39" si="22">AG35+AG36-AG37</f>
        <v>1675.6144118710981</v>
      </c>
      <c r="AH39" s="282">
        <f t="shared" si="22"/>
        <v>891.96307985131421</v>
      </c>
      <c r="AI39" s="282">
        <f t="shared" si="22"/>
        <v>1424.6993729853587</v>
      </c>
      <c r="AJ39" s="282">
        <f t="shared" si="22"/>
        <v>927.31958284101847</v>
      </c>
      <c r="AK39" s="282">
        <f t="shared" si="22"/>
        <v>709.19492080125713</v>
      </c>
      <c r="AL39" s="282">
        <f t="shared" si="22"/>
        <v>1699.8360835751289</v>
      </c>
      <c r="AM39" s="282">
        <f t="shared" si="22"/>
        <v>271.29686756313095</v>
      </c>
      <c r="BD39" s="272" t="s">
        <v>382</v>
      </c>
      <c r="BE39" s="719">
        <f>SUM(BE37:BE38)</f>
        <v>1010</v>
      </c>
      <c r="BF39" s="720">
        <f>SUM(BF37:BF38)</f>
        <v>1683.3997993237679</v>
      </c>
      <c r="BG39" s="720">
        <f>SUM(BE39:BF39)</f>
        <v>2693.3997993237681</v>
      </c>
      <c r="BH39" s="726">
        <f>BE39/BG39</f>
        <v>0.37499074599084053</v>
      </c>
      <c r="BI39" s="725">
        <f>1-BH39</f>
        <v>0.62500925400915941</v>
      </c>
      <c r="BM39" s="270"/>
      <c r="BN39" s="270"/>
      <c r="BO39" s="270"/>
      <c r="BP39" s="270"/>
      <c r="BQ39" s="270"/>
      <c r="BR39" s="272" t="s">
        <v>20</v>
      </c>
      <c r="BS39" s="272" t="s">
        <v>44</v>
      </c>
      <c r="BT39" s="484">
        <f>end_use!P9</f>
        <v>271.29686756313095</v>
      </c>
      <c r="BU39" s="625">
        <f>end_use!R9</f>
        <v>-5.8497825556587139E-3</v>
      </c>
      <c r="BV39" s="626">
        <f>end_use!S9</f>
        <v>-1.5870276832756558</v>
      </c>
      <c r="BW39" s="622">
        <f t="shared" si="19"/>
        <v>-1.5870276832756558</v>
      </c>
    </row>
    <row r="40" spans="1:75">
      <c r="A40" s="560" t="str">
        <f t="shared" si="21"/>
        <v>R1</v>
      </c>
      <c r="B40" s="562">
        <f>Process!Q5</f>
        <v>0.94999999999999984</v>
      </c>
      <c r="C40" s="564">
        <f>Process!K5</f>
        <v>7.6999999999999957E-2</v>
      </c>
      <c r="D40" s="564">
        <f>Process!I5</f>
        <v>5.9726499999999989</v>
      </c>
      <c r="E40" s="561">
        <f>Process!P5</f>
        <v>0.43658638544903206</v>
      </c>
      <c r="AX40" s="270"/>
      <c r="BG40" s="419">
        <f>SUM(BG37:BG38)</f>
        <v>2693.3997993237681</v>
      </c>
      <c r="BL40" s="270"/>
      <c r="BM40" s="270"/>
      <c r="BN40" s="270"/>
      <c r="BO40" s="270"/>
      <c r="BP40" s="270"/>
      <c r="BQ40" s="270"/>
      <c r="BS40" s="272" t="s">
        <v>343</v>
      </c>
      <c r="BT40" s="315">
        <f>SUM(BT32:BT39)</f>
        <v>9021.0811325915711</v>
      </c>
      <c r="BU40" s="627">
        <f>BV40/BT40</f>
        <v>9.9982690579847357E-3</v>
      </c>
      <c r="BV40" s="628">
        <f>SUM(BV32:BV39)</f>
        <v>90.195196357560206</v>
      </c>
      <c r="BW40" s="272">
        <f>BT40*BU40</f>
        <v>90.195196357560206</v>
      </c>
    </row>
    <row r="41" spans="1:75">
      <c r="A41" s="560" t="str">
        <f t="shared" si="21"/>
        <v>R2</v>
      </c>
      <c r="B41" s="562">
        <f>Process!Q6</f>
        <v>0.95000000000000007</v>
      </c>
      <c r="C41" s="564">
        <f>Process!K6</f>
        <v>7.6999999999999957E-2</v>
      </c>
      <c r="D41" s="564">
        <f>Process!I6</f>
        <v>5.9726500000000007</v>
      </c>
      <c r="E41" s="561">
        <f>Process!P6</f>
        <v>0.43658638544903222</v>
      </c>
      <c r="AX41" s="270"/>
      <c r="BL41" s="270"/>
      <c r="BM41" s="270"/>
      <c r="BN41" s="270"/>
      <c r="BO41" s="270"/>
      <c r="BP41" s="270"/>
      <c r="BQ41" s="270"/>
    </row>
    <row r="42" spans="1:75">
      <c r="A42" s="560" t="str">
        <f t="shared" si="21"/>
        <v>C1</v>
      </c>
      <c r="B42" s="562">
        <f>Process!Q7</f>
        <v>1</v>
      </c>
      <c r="C42" s="564">
        <f>Process!K7</f>
        <v>0.16100000000000003</v>
      </c>
      <c r="D42" s="564">
        <f>Process!I7</f>
        <v>1.18</v>
      </c>
      <c r="E42" s="561">
        <f>Process!P7</f>
        <v>9.1529898713860566E-2</v>
      </c>
      <c r="AC42" s="401"/>
      <c r="AX42" s="270"/>
      <c r="BL42" s="270"/>
      <c r="BM42" s="270"/>
      <c r="BN42" s="270"/>
      <c r="BO42" s="270"/>
      <c r="BP42" s="270"/>
      <c r="BQ42" s="270"/>
    </row>
    <row r="43" spans="1:75">
      <c r="A43" s="560" t="str">
        <f t="shared" si="21"/>
        <v>C2</v>
      </c>
      <c r="B43" s="562">
        <f>Process!Q8</f>
        <v>1</v>
      </c>
      <c r="C43" s="564">
        <f>Process!K8</f>
        <v>0.16100000000000003</v>
      </c>
      <c r="D43" s="564">
        <f>Process!I8</f>
        <v>1.18</v>
      </c>
      <c r="E43" s="561">
        <f>Process!P8</f>
        <v>9.1529898713860566E-2</v>
      </c>
      <c r="AE43" s="401" t="s">
        <v>527</v>
      </c>
      <c r="AF43" s="631" t="s">
        <v>518</v>
      </c>
      <c r="AG43" s="631" t="s">
        <v>154</v>
      </c>
      <c r="AH43" s="631" t="s">
        <v>155</v>
      </c>
      <c r="AI43" s="631" t="s">
        <v>40</v>
      </c>
      <c r="AJ43" s="631" t="s">
        <v>41</v>
      </c>
      <c r="AK43" s="631" t="s">
        <v>42</v>
      </c>
      <c r="AL43" s="631" t="s">
        <v>43</v>
      </c>
      <c r="AM43" s="631" t="s">
        <v>44</v>
      </c>
      <c r="AN43" s="631" t="s">
        <v>343</v>
      </c>
      <c r="AX43" s="270"/>
      <c r="BL43" s="270"/>
      <c r="BM43" s="270"/>
      <c r="BN43" s="270"/>
      <c r="BO43" s="270"/>
      <c r="BP43" s="270"/>
      <c r="BQ43" s="270"/>
    </row>
    <row r="44" spans="1:75">
      <c r="A44" s="560" t="str">
        <f t="shared" si="21"/>
        <v>F1</v>
      </c>
      <c r="B44" s="562">
        <f>Process!Q9</f>
        <v>0.70767999999999998</v>
      </c>
      <c r="C44" s="564">
        <f>Process!K9</f>
        <v>0.51800000000000002</v>
      </c>
      <c r="D44" s="564">
        <f>Process!I9</f>
        <v>4.2450000000000001</v>
      </c>
      <c r="E44" s="561">
        <f>Process!P9</f>
        <v>0.40992130372089242</v>
      </c>
      <c r="AE44" s="631" t="s">
        <v>514</v>
      </c>
      <c r="AF44" s="273">
        <f>downstream!B9</f>
        <v>36</v>
      </c>
      <c r="AG44" s="274">
        <f>downstream!C9</f>
        <v>2630</v>
      </c>
      <c r="AH44" s="274">
        <f>downstream!D9</f>
        <v>427</v>
      </c>
      <c r="AI44" s="274">
        <f>downstream!E9</f>
        <v>345</v>
      </c>
      <c r="AJ44" s="274">
        <f>downstream!F9</f>
        <v>219</v>
      </c>
      <c r="AK44" s="274">
        <f>downstream!G9</f>
        <v>598</v>
      </c>
      <c r="AL44" s="274">
        <f>downstream!H9</f>
        <v>0</v>
      </c>
      <c r="AM44" s="274">
        <f>downstream!I9</f>
        <v>430</v>
      </c>
      <c r="AN44" s="275">
        <f>SUM(AF44:AM44)</f>
        <v>4685</v>
      </c>
      <c r="BN44" s="270"/>
      <c r="BO44" s="270"/>
      <c r="BP44" s="270"/>
      <c r="BQ44" s="270"/>
    </row>
    <row r="45" spans="1:75">
      <c r="A45" s="560" t="str">
        <f t="shared" si="21"/>
        <v>F2</v>
      </c>
      <c r="B45" s="562">
        <f>Process!Q10</f>
        <v>0.73855000000000004</v>
      </c>
      <c r="C45" s="564">
        <f>Process!K10</f>
        <v>0.47299999999999998</v>
      </c>
      <c r="D45" s="564">
        <f>Process!I10</f>
        <v>5.899</v>
      </c>
      <c r="E45" s="561">
        <f>Process!P10</f>
        <v>0.55551458963406164</v>
      </c>
      <c r="AE45" s="631" t="s">
        <v>515</v>
      </c>
      <c r="AF45" s="632">
        <f>Raw!P47</f>
        <v>1</v>
      </c>
      <c r="AG45" s="633">
        <f>Raw!Q47</f>
        <v>0.42000000000000004</v>
      </c>
      <c r="AH45" s="633">
        <f>Raw!R47</f>
        <v>0.57894736842105299</v>
      </c>
      <c r="AI45" s="633">
        <f>Raw!S47</f>
        <v>0.6</v>
      </c>
      <c r="AJ45" s="633">
        <f>Raw!T47</f>
        <v>0.6</v>
      </c>
      <c r="AK45" s="633">
        <f>Raw!U47</f>
        <v>0.6</v>
      </c>
      <c r="AL45" s="633">
        <f>Raw!V47</f>
        <v>0</v>
      </c>
      <c r="AM45" s="633">
        <f>Raw!W47</f>
        <v>0.6</v>
      </c>
      <c r="AN45" s="634">
        <f>Raw!L47</f>
        <v>0.50010897039824753</v>
      </c>
      <c r="AO45" s="630">
        <f>SUMPRODUCT(AF$44:AM$44,AF45:AM45)/$AN$44</f>
        <v>0.50010897039824753</v>
      </c>
      <c r="BN45" s="270"/>
      <c r="BO45" s="270"/>
      <c r="BP45" s="270"/>
      <c r="BQ45" s="270"/>
    </row>
    <row r="46" spans="1:75">
      <c r="A46" s="560" t="str">
        <f t="shared" si="21"/>
        <v>F3</v>
      </c>
      <c r="B46" s="562">
        <f>Process!Q11</f>
        <v>0.73855000000000004</v>
      </c>
      <c r="C46" s="564">
        <f>Process!K11</f>
        <v>0.47299999999999998</v>
      </c>
      <c r="D46" s="564">
        <f>Process!I11</f>
        <v>5.899</v>
      </c>
      <c r="E46" s="561">
        <f>Process!P11</f>
        <v>0.55551458963406164</v>
      </c>
      <c r="AE46" s="631" t="s">
        <v>516</v>
      </c>
      <c r="AF46" s="632">
        <f>Raw!P48</f>
        <v>0</v>
      </c>
      <c r="AG46" s="633">
        <f>Raw!Q48</f>
        <v>0.38666666666666666</v>
      </c>
      <c r="AH46" s="633">
        <f>Raw!R48</f>
        <v>0.26315789473684198</v>
      </c>
      <c r="AI46" s="633">
        <f>Raw!S48</f>
        <v>0.3</v>
      </c>
      <c r="AJ46" s="633">
        <f>Raw!T48</f>
        <v>0.3</v>
      </c>
      <c r="AK46" s="633">
        <f>Raw!U48</f>
        <v>0.3</v>
      </c>
      <c r="AL46" s="633">
        <f>Raw!V48</f>
        <v>0</v>
      </c>
      <c r="AM46" s="633">
        <f>Raw!W48</f>
        <v>0.3</v>
      </c>
      <c r="AN46" s="634">
        <f>Raw!L48</f>
        <v>0.34298863487427211</v>
      </c>
      <c r="AO46" s="630">
        <f>SUMPRODUCT(AF$44:AM$44,AF46:AM46)/$AN$44</f>
        <v>0.34298863487427211</v>
      </c>
      <c r="BN46" s="270"/>
      <c r="BO46" s="270"/>
      <c r="BP46" s="270"/>
      <c r="BQ46" s="270"/>
    </row>
    <row r="47" spans="1:75">
      <c r="A47" s="560" t="str">
        <f t="shared" si="21"/>
        <v>F4</v>
      </c>
      <c r="B47" s="563">
        <f>Process!Q12</f>
        <v>0.8</v>
      </c>
      <c r="C47" s="565">
        <f>Process!K12</f>
        <v>0.51800000000000002</v>
      </c>
      <c r="D47" s="565">
        <f>Process!I12</f>
        <v>4.2450000000000001</v>
      </c>
      <c r="E47" s="561">
        <f>Process!P12</f>
        <v>0.40992130372089242</v>
      </c>
      <c r="AE47" s="631" t="s">
        <v>517</v>
      </c>
      <c r="AF47" s="635">
        <f>Raw!P49</f>
        <v>0</v>
      </c>
      <c r="AG47" s="636">
        <f>Raw!Q49</f>
        <v>0.19333333333333333</v>
      </c>
      <c r="AH47" s="636">
        <f>Raw!R49</f>
        <v>0.15789473684210503</v>
      </c>
      <c r="AI47" s="636">
        <f>Raw!S49</f>
        <v>0.1</v>
      </c>
      <c r="AJ47" s="636">
        <f>Raw!T49</f>
        <v>0.1</v>
      </c>
      <c r="AK47" s="636">
        <f>Raw!U49</f>
        <v>0.1</v>
      </c>
      <c r="AL47" s="636">
        <f>Raw!V49</f>
        <v>0</v>
      </c>
      <c r="AM47" s="636">
        <f>Raw!W49</f>
        <v>0.1</v>
      </c>
      <c r="AN47" s="637">
        <f>Raw!L49</f>
        <v>0.15690239472748033</v>
      </c>
      <c r="AO47" s="630">
        <f>SUMPRODUCT(AF$44:AM$44,AF47:AM47)/$AN$44</f>
        <v>0.15690239472748033</v>
      </c>
      <c r="BN47" s="270"/>
      <c r="BO47" s="270"/>
      <c r="BP47" s="270"/>
      <c r="BQ47" s="270"/>
    </row>
    <row r="48" spans="1:75">
      <c r="A48" s="560" t="str">
        <f t="shared" si="21"/>
        <v>SC1</v>
      </c>
      <c r="B48" s="562">
        <f>Process!Q13</f>
        <v>0.95684803001876162</v>
      </c>
      <c r="C48" s="564">
        <f>Process!K13</f>
        <v>0.35199999999999998</v>
      </c>
      <c r="D48" s="564">
        <f>Process!I13</f>
        <v>5.16</v>
      </c>
      <c r="E48" s="561">
        <f>Process!P13</f>
        <v>0.45269654927865688</v>
      </c>
      <c r="BN48" s="270"/>
      <c r="BO48" s="270"/>
      <c r="BP48" s="270"/>
      <c r="BQ48" s="270"/>
    </row>
    <row r="49" spans="1:70">
      <c r="A49" s="560" t="str">
        <f t="shared" si="21"/>
        <v>SC2</v>
      </c>
      <c r="B49" s="562">
        <f>Process!Q14</f>
        <v>0.95684803001876162</v>
      </c>
      <c r="C49" s="564">
        <f>Process!K14</f>
        <v>0.35199999999999998</v>
      </c>
      <c r="D49" s="564">
        <f>Process!I14</f>
        <v>5.16</v>
      </c>
      <c r="E49" s="561">
        <f>Process!P14</f>
        <v>0.45269654927865688</v>
      </c>
      <c r="BM49" s="270"/>
      <c r="BN49" s="270"/>
      <c r="BO49" s="270"/>
      <c r="BP49" s="270"/>
      <c r="BQ49" s="270"/>
      <c r="BR49" s="270"/>
    </row>
    <row r="50" spans="1:70">
      <c r="A50" s="560" t="str">
        <f t="shared" si="21"/>
        <v>SC3</v>
      </c>
      <c r="B50" s="562">
        <f>Process!Q15</f>
        <v>0.95684803001876173</v>
      </c>
      <c r="C50" s="564">
        <f>Process!K15</f>
        <v>0.35199999999999998</v>
      </c>
      <c r="D50" s="564">
        <f>Process!I15</f>
        <v>5.16</v>
      </c>
      <c r="E50" s="561">
        <f>Process!P15</f>
        <v>0.45269654927865688</v>
      </c>
      <c r="BM50" s="270"/>
      <c r="BN50" s="270"/>
      <c r="BO50" s="270"/>
      <c r="BP50" s="270"/>
      <c r="BQ50" s="270"/>
      <c r="BR50" s="270"/>
    </row>
    <row r="51" spans="1:70">
      <c r="A51" s="560" t="str">
        <f t="shared" si="21"/>
        <v>P1</v>
      </c>
      <c r="B51" s="562">
        <f>Process!Q16</f>
        <v>0.90650003626646747</v>
      </c>
      <c r="C51" s="565">
        <f>Process!K16</f>
        <v>1</v>
      </c>
      <c r="D51" s="565">
        <f>Process!I16</f>
        <v>2.4546785564738358</v>
      </c>
      <c r="E51" s="561">
        <f>Process!P16</f>
        <v>0.3</v>
      </c>
      <c r="AZ51" s="270"/>
      <c r="BA51" s="270"/>
      <c r="BB51" s="270"/>
      <c r="BC51" s="270"/>
      <c r="BD51" s="270"/>
      <c r="BE51" s="270"/>
      <c r="BF51" s="270"/>
      <c r="BG51" s="270"/>
      <c r="BH51" s="270"/>
      <c r="BI51" s="270"/>
      <c r="BJ51" s="270"/>
      <c r="BK51" s="270"/>
      <c r="BL51" s="270"/>
      <c r="BM51" s="270"/>
      <c r="BN51" s="270"/>
      <c r="BO51" s="270"/>
      <c r="BP51" s="270"/>
      <c r="BQ51" s="270"/>
      <c r="BR51" s="270"/>
    </row>
    <row r="52" spans="1:70">
      <c r="A52" s="560" t="str">
        <f t="shared" si="21"/>
        <v>P2</v>
      </c>
      <c r="B52" s="562">
        <f>Process!Q17</f>
        <v>0.87432486131705645</v>
      </c>
      <c r="C52" s="564">
        <f>Process!K17</f>
        <v>0.48393077873918411</v>
      </c>
      <c r="D52" s="564">
        <f>Process!I17</f>
        <v>3.2359999999999998</v>
      </c>
      <c r="E52" s="561">
        <f>Process!P17</f>
        <v>0.30661962157019501</v>
      </c>
      <c r="BO52" s="270"/>
      <c r="BP52" s="270"/>
      <c r="BQ52" s="270"/>
      <c r="BR52" s="270"/>
    </row>
    <row r="53" spans="1:70">
      <c r="A53" s="560" t="str">
        <f>A18</f>
        <v>P3</v>
      </c>
      <c r="B53" s="562">
        <f>Process!Q18</f>
        <v>0.82770805193851615</v>
      </c>
      <c r="C53" s="564">
        <f>Process!K18</f>
        <v>0.48393077873918411</v>
      </c>
      <c r="D53" s="564">
        <f>Process!I18</f>
        <v>3.2359999999999998</v>
      </c>
      <c r="E53" s="561">
        <f>Process!P18</f>
        <v>0.30661962157019501</v>
      </c>
      <c r="BO53" s="270"/>
      <c r="BP53" s="270"/>
      <c r="BQ53" s="270"/>
      <c r="BR53" s="270"/>
    </row>
    <row r="54" spans="1:70">
      <c r="A54" s="560" t="str">
        <f t="shared" si="21"/>
        <v>P4</v>
      </c>
      <c r="B54" s="562">
        <f>Process!Q19</f>
        <v>0.88530034679451486</v>
      </c>
      <c r="C54" s="565">
        <f>Process!K19</f>
        <v>1</v>
      </c>
      <c r="D54" s="565">
        <f>Process!I19</f>
        <v>2.4546785564738358</v>
      </c>
      <c r="E54" s="561">
        <f>Process!P19</f>
        <v>0.3</v>
      </c>
      <c r="BO54" s="270"/>
      <c r="BP54" s="270"/>
      <c r="BQ54" s="270"/>
      <c r="BR54" s="270"/>
    </row>
    <row r="55" spans="1:70">
      <c r="A55" s="560" t="str">
        <f t="shared" si="21"/>
        <v>P5</v>
      </c>
      <c r="B55" s="562">
        <f>Process!Q20</f>
        <v>0.92509491069170335</v>
      </c>
      <c r="C55" s="565">
        <f>Process!K20</f>
        <v>1</v>
      </c>
      <c r="D55" s="565">
        <f>Process!I20</f>
        <v>2.4546785564738358</v>
      </c>
      <c r="E55" s="561">
        <f>Process!P20</f>
        <v>0.3</v>
      </c>
      <c r="BO55" s="270"/>
      <c r="BP55" s="270"/>
      <c r="BQ55" s="270"/>
      <c r="BR55" s="270"/>
    </row>
    <row r="56" spans="1:70">
      <c r="A56" s="560" t="str">
        <f t="shared" si="21"/>
        <v>P6</v>
      </c>
      <c r="B56" s="562">
        <f>Process!Q21</f>
        <v>0.90632945815127952</v>
      </c>
      <c r="C56" s="565">
        <f>Process!K21</f>
        <v>1</v>
      </c>
      <c r="D56" s="565">
        <f>Process!I21</f>
        <v>2.4546785564738358</v>
      </c>
      <c r="E56" s="561">
        <f>Process!P21</f>
        <v>0.3</v>
      </c>
      <c r="AX56" s="270"/>
      <c r="AY56" s="270"/>
      <c r="BO56" s="270"/>
      <c r="BP56" s="270"/>
      <c r="BQ56" s="270"/>
      <c r="BR56" s="270"/>
    </row>
    <row r="57" spans="1:70">
      <c r="A57" s="560" t="str">
        <f>A22</f>
        <v>P7</v>
      </c>
      <c r="B57" s="562">
        <f>Process!Q22</f>
        <v>0.84217824253529006</v>
      </c>
      <c r="C57" s="564">
        <f>Process!K22</f>
        <v>0.61799999999999999</v>
      </c>
      <c r="D57" s="564">
        <f>Process!I22</f>
        <v>11.03</v>
      </c>
      <c r="E57" s="565">
        <f>Process!P22</f>
        <v>1.1238162310715818</v>
      </c>
      <c r="AX57" s="270"/>
      <c r="AZ57" s="270"/>
      <c r="BA57" s="270"/>
      <c r="BB57" s="270"/>
      <c r="BC57" s="270"/>
      <c r="BD57" s="270"/>
      <c r="BE57" s="270"/>
      <c r="BF57" s="270"/>
      <c r="BG57" s="270"/>
      <c r="BH57" s="270"/>
      <c r="BI57" s="270"/>
      <c r="BJ57" s="270"/>
      <c r="BK57" s="270"/>
    </row>
    <row r="58" spans="1:70">
      <c r="A58" s="560" t="str">
        <f t="shared" si="21"/>
        <v>P8</v>
      </c>
      <c r="B58" s="562">
        <f>Process!Q23</f>
        <v>0.97180510373928608</v>
      </c>
      <c r="C58" s="565">
        <f>Process!K23</f>
        <v>1</v>
      </c>
      <c r="D58" s="565">
        <f>Process!I23</f>
        <v>2.4546785564738358</v>
      </c>
      <c r="E58" s="561">
        <f>Process!P23</f>
        <v>0.3</v>
      </c>
      <c r="AX58" s="270"/>
      <c r="AZ58" s="270"/>
      <c r="BA58" s="270"/>
      <c r="BB58" s="270"/>
      <c r="BC58" s="270"/>
      <c r="BD58" s="270"/>
      <c r="BE58" s="270"/>
      <c r="BF58" s="270"/>
      <c r="BG58" s="270"/>
      <c r="BH58" s="270"/>
      <c r="BI58" s="270"/>
      <c r="BJ58" s="270"/>
      <c r="BK58" s="270"/>
    </row>
    <row r="59" spans="1:70">
      <c r="AX59" s="270"/>
    </row>
    <row r="60" spans="1:70">
      <c r="AX60" s="270"/>
    </row>
    <row r="61" spans="1:70">
      <c r="AX61" s="270"/>
    </row>
    <row r="62" spans="1:70">
      <c r="A62" s="272" t="s">
        <v>23</v>
      </c>
    </row>
    <row r="63" spans="1:70" ht="16.2" thickBot="1">
      <c r="A63" s="796"/>
      <c r="B63" s="421" t="s">
        <v>133</v>
      </c>
      <c r="C63" s="421" t="s">
        <v>350</v>
      </c>
      <c r="D63" s="421" t="s">
        <v>2</v>
      </c>
      <c r="E63" s="421" t="s">
        <v>3</v>
      </c>
      <c r="F63" s="421" t="s">
        <v>4</v>
      </c>
      <c r="G63" s="421" t="s">
        <v>5</v>
      </c>
      <c r="H63" s="421" t="s">
        <v>6</v>
      </c>
      <c r="I63" s="421" t="s">
        <v>7</v>
      </c>
      <c r="J63" s="421" t="s">
        <v>8</v>
      </c>
      <c r="K63" s="421" t="s">
        <v>9</v>
      </c>
      <c r="L63" s="421" t="s">
        <v>78</v>
      </c>
      <c r="M63" s="421" t="s">
        <v>10</v>
      </c>
      <c r="N63" s="421" t="s">
        <v>11</v>
      </c>
      <c r="O63" s="421" t="s">
        <v>12</v>
      </c>
      <c r="P63" s="421" t="s">
        <v>13</v>
      </c>
      <c r="Q63" s="421" t="s">
        <v>14</v>
      </c>
      <c r="R63" s="421" t="s">
        <v>15</v>
      </c>
      <c r="S63" s="421" t="s">
        <v>16</v>
      </c>
      <c r="T63" s="421" t="s">
        <v>17</v>
      </c>
      <c r="U63" s="421" t="s">
        <v>18</v>
      </c>
      <c r="V63" s="421" t="s">
        <v>19</v>
      </c>
      <c r="W63" s="421" t="s">
        <v>20</v>
      </c>
      <c r="X63" s="421"/>
    </row>
    <row r="64" spans="1:70">
      <c r="A64" s="421" t="s">
        <v>133</v>
      </c>
      <c r="B64" s="789">
        <f>B2/B$25</f>
        <v>0</v>
      </c>
      <c r="C64" s="790">
        <f t="shared" ref="C64:W76" si="23">C2/C$25</f>
        <v>0</v>
      </c>
      <c r="D64" s="790">
        <f t="shared" si="23"/>
        <v>0.37600004131868592</v>
      </c>
      <c r="E64" s="790">
        <f t="shared" si="23"/>
        <v>0</v>
      </c>
      <c r="F64" s="790">
        <f t="shared" si="23"/>
        <v>0</v>
      </c>
      <c r="G64" s="790">
        <f t="shared" si="23"/>
        <v>0</v>
      </c>
      <c r="H64" s="790">
        <f t="shared" si="23"/>
        <v>0</v>
      </c>
      <c r="I64" s="790">
        <f t="shared" si="23"/>
        <v>0</v>
      </c>
      <c r="J64" s="790">
        <f t="shared" si="23"/>
        <v>0</v>
      </c>
      <c r="K64" s="790">
        <f t="shared" si="23"/>
        <v>0</v>
      </c>
      <c r="L64" s="790">
        <f t="shared" si="23"/>
        <v>0</v>
      </c>
      <c r="M64" s="790">
        <f t="shared" si="23"/>
        <v>0</v>
      </c>
      <c r="N64" s="790">
        <f t="shared" si="23"/>
        <v>0</v>
      </c>
      <c r="O64" s="790">
        <f t="shared" si="23"/>
        <v>0</v>
      </c>
      <c r="P64" s="790">
        <f t="shared" si="23"/>
        <v>0</v>
      </c>
      <c r="Q64" s="790">
        <f t="shared" si="23"/>
        <v>0</v>
      </c>
      <c r="R64" s="790">
        <f t="shared" si="23"/>
        <v>0</v>
      </c>
      <c r="S64" s="790">
        <f t="shared" si="23"/>
        <v>0</v>
      </c>
      <c r="T64" s="790">
        <f t="shared" si="23"/>
        <v>0</v>
      </c>
      <c r="U64" s="790">
        <f t="shared" si="23"/>
        <v>0</v>
      </c>
      <c r="V64" s="790">
        <f t="shared" si="23"/>
        <v>0</v>
      </c>
      <c r="W64" s="791">
        <f t="shared" si="23"/>
        <v>0</v>
      </c>
      <c r="X64" s="787"/>
    </row>
    <row r="65" spans="1:50">
      <c r="A65" s="421" t="s">
        <v>350</v>
      </c>
      <c r="B65" s="792">
        <f t="shared" ref="B65:Q85" si="24">B3/B$25</f>
        <v>0</v>
      </c>
      <c r="C65" s="787">
        <f t="shared" si="24"/>
        <v>0</v>
      </c>
      <c r="D65" s="787">
        <f t="shared" si="24"/>
        <v>0</v>
      </c>
      <c r="E65" s="787">
        <f t="shared" si="24"/>
        <v>0.32599663464198481</v>
      </c>
      <c r="F65" s="787">
        <f t="shared" si="24"/>
        <v>0.7798127464228003</v>
      </c>
      <c r="G65" s="787">
        <f t="shared" si="24"/>
        <v>0</v>
      </c>
      <c r="H65" s="787">
        <f t="shared" si="24"/>
        <v>0</v>
      </c>
      <c r="I65" s="787">
        <f t="shared" si="24"/>
        <v>0</v>
      </c>
      <c r="J65" s="787">
        <f t="shared" si="24"/>
        <v>0</v>
      </c>
      <c r="K65" s="787">
        <f t="shared" si="24"/>
        <v>0</v>
      </c>
      <c r="L65" s="787">
        <f t="shared" si="24"/>
        <v>0</v>
      </c>
      <c r="M65" s="787">
        <f t="shared" si="24"/>
        <v>0</v>
      </c>
      <c r="N65" s="787">
        <f t="shared" si="24"/>
        <v>0</v>
      </c>
      <c r="O65" s="787">
        <f t="shared" si="24"/>
        <v>0</v>
      </c>
      <c r="P65" s="787">
        <f t="shared" si="24"/>
        <v>0</v>
      </c>
      <c r="Q65" s="787">
        <f t="shared" si="24"/>
        <v>0</v>
      </c>
      <c r="R65" s="787">
        <f t="shared" si="23"/>
        <v>0</v>
      </c>
      <c r="S65" s="787">
        <f t="shared" si="23"/>
        <v>0</v>
      </c>
      <c r="T65" s="787">
        <f t="shared" si="23"/>
        <v>0</v>
      </c>
      <c r="U65" s="787">
        <f t="shared" si="23"/>
        <v>0</v>
      </c>
      <c r="V65" s="787">
        <f t="shared" si="23"/>
        <v>0</v>
      </c>
      <c r="W65" s="788">
        <f t="shared" si="23"/>
        <v>0</v>
      </c>
      <c r="X65" s="787"/>
    </row>
    <row r="66" spans="1:50">
      <c r="A66" s="421" t="s">
        <v>2</v>
      </c>
      <c r="B66" s="792">
        <f t="shared" si="24"/>
        <v>0</v>
      </c>
      <c r="C66" s="787">
        <f t="shared" si="23"/>
        <v>0</v>
      </c>
      <c r="D66" s="787">
        <f t="shared" si="23"/>
        <v>0</v>
      </c>
      <c r="E66" s="787">
        <f t="shared" si="23"/>
        <v>4.6021123346870509E-3</v>
      </c>
      <c r="F66" s="787">
        <f t="shared" si="23"/>
        <v>1.4926395558394598E-2</v>
      </c>
      <c r="G66" s="787">
        <f t="shared" si="23"/>
        <v>9.7340438711048832E-2</v>
      </c>
      <c r="H66" s="787">
        <f t="shared" si="23"/>
        <v>0.10150442419816888</v>
      </c>
      <c r="I66" s="787">
        <f t="shared" si="23"/>
        <v>0</v>
      </c>
      <c r="J66" s="787">
        <f t="shared" si="23"/>
        <v>0</v>
      </c>
      <c r="K66" s="787">
        <f t="shared" si="23"/>
        <v>0</v>
      </c>
      <c r="L66" s="787">
        <f t="shared" si="23"/>
        <v>0</v>
      </c>
      <c r="M66" s="787">
        <f t="shared" si="23"/>
        <v>0</v>
      </c>
      <c r="N66" s="787">
        <f t="shared" si="23"/>
        <v>0</v>
      </c>
      <c r="O66" s="787">
        <f t="shared" si="23"/>
        <v>0</v>
      </c>
      <c r="P66" s="787">
        <f t="shared" si="23"/>
        <v>0</v>
      </c>
      <c r="Q66" s="787">
        <f t="shared" si="23"/>
        <v>0</v>
      </c>
      <c r="R66" s="787">
        <f t="shared" si="23"/>
        <v>0</v>
      </c>
      <c r="S66" s="787">
        <f t="shared" si="23"/>
        <v>0</v>
      </c>
      <c r="T66" s="787">
        <f t="shared" si="23"/>
        <v>0</v>
      </c>
      <c r="U66" s="787">
        <f t="shared" si="23"/>
        <v>0</v>
      </c>
      <c r="V66" s="787">
        <f t="shared" si="23"/>
        <v>0</v>
      </c>
      <c r="W66" s="788">
        <f t="shared" si="23"/>
        <v>0</v>
      </c>
      <c r="X66" s="787"/>
    </row>
    <row r="67" spans="1:50">
      <c r="A67" s="421" t="s">
        <v>3</v>
      </c>
      <c r="B67" s="792">
        <f t="shared" si="24"/>
        <v>0</v>
      </c>
      <c r="C67" s="787">
        <f t="shared" si="23"/>
        <v>0</v>
      </c>
      <c r="D67" s="787">
        <f t="shared" si="23"/>
        <v>0</v>
      </c>
      <c r="E67" s="787">
        <f t="shared" si="23"/>
        <v>0</v>
      </c>
      <c r="F67" s="787">
        <f t="shared" si="23"/>
        <v>0</v>
      </c>
      <c r="G67" s="787">
        <f t="shared" si="23"/>
        <v>0.88012261242481693</v>
      </c>
      <c r="H67" s="787">
        <f t="shared" si="23"/>
        <v>0</v>
      </c>
      <c r="I67" s="787">
        <f t="shared" si="23"/>
        <v>0</v>
      </c>
      <c r="J67" s="787">
        <f t="shared" si="23"/>
        <v>0</v>
      </c>
      <c r="K67" s="787">
        <f t="shared" si="23"/>
        <v>0</v>
      </c>
      <c r="L67" s="787">
        <f t="shared" si="23"/>
        <v>0</v>
      </c>
      <c r="M67" s="787">
        <f t="shared" si="23"/>
        <v>0</v>
      </c>
      <c r="N67" s="787">
        <f t="shared" si="23"/>
        <v>0</v>
      </c>
      <c r="O67" s="787">
        <f t="shared" si="23"/>
        <v>0</v>
      </c>
      <c r="P67" s="787">
        <f t="shared" si="23"/>
        <v>0</v>
      </c>
      <c r="Q67" s="787">
        <f t="shared" si="23"/>
        <v>0</v>
      </c>
      <c r="R67" s="787">
        <f t="shared" si="23"/>
        <v>0</v>
      </c>
      <c r="S67" s="787">
        <f t="shared" si="23"/>
        <v>0</v>
      </c>
      <c r="T67" s="787">
        <f t="shared" si="23"/>
        <v>0</v>
      </c>
      <c r="U67" s="787">
        <f t="shared" si="23"/>
        <v>0</v>
      </c>
      <c r="V67" s="787">
        <f t="shared" si="23"/>
        <v>0</v>
      </c>
      <c r="W67" s="788">
        <f t="shared" si="23"/>
        <v>0</v>
      </c>
      <c r="X67" s="787"/>
    </row>
    <row r="68" spans="1:50">
      <c r="A68" s="421" t="s">
        <v>4</v>
      </c>
      <c r="B68" s="792">
        <f t="shared" si="24"/>
        <v>0</v>
      </c>
      <c r="C68" s="787">
        <f t="shared" si="23"/>
        <v>0</v>
      </c>
      <c r="D68" s="787">
        <f t="shared" si="23"/>
        <v>0</v>
      </c>
      <c r="E68" s="787">
        <f t="shared" si="23"/>
        <v>0</v>
      </c>
      <c r="F68" s="787">
        <f t="shared" si="23"/>
        <v>0</v>
      </c>
      <c r="G68" s="787">
        <f t="shared" si="23"/>
        <v>0</v>
      </c>
      <c r="H68" s="787">
        <f t="shared" si="23"/>
        <v>0.87499455148008787</v>
      </c>
      <c r="I68" s="787">
        <f t="shared" si="23"/>
        <v>0</v>
      </c>
      <c r="J68" s="787">
        <f t="shared" si="23"/>
        <v>0</v>
      </c>
      <c r="K68" s="787">
        <f t="shared" si="23"/>
        <v>0</v>
      </c>
      <c r="L68" s="787">
        <f t="shared" si="23"/>
        <v>0</v>
      </c>
      <c r="M68" s="787">
        <f t="shared" si="23"/>
        <v>0</v>
      </c>
      <c r="N68" s="787">
        <f t="shared" si="23"/>
        <v>0</v>
      </c>
      <c r="O68" s="787">
        <f t="shared" si="23"/>
        <v>0</v>
      </c>
      <c r="P68" s="787">
        <f t="shared" si="23"/>
        <v>0</v>
      </c>
      <c r="Q68" s="787">
        <f t="shared" si="23"/>
        <v>0</v>
      </c>
      <c r="R68" s="787">
        <f t="shared" si="23"/>
        <v>0</v>
      </c>
      <c r="S68" s="787">
        <f t="shared" si="23"/>
        <v>0</v>
      </c>
      <c r="T68" s="787">
        <f t="shared" si="23"/>
        <v>0</v>
      </c>
      <c r="U68" s="787">
        <f t="shared" si="23"/>
        <v>0</v>
      </c>
      <c r="V68" s="787">
        <f t="shared" si="23"/>
        <v>0</v>
      </c>
      <c r="W68" s="788">
        <f t="shared" si="23"/>
        <v>0</v>
      </c>
      <c r="X68" s="787"/>
    </row>
    <row r="69" spans="1:50">
      <c r="A69" s="421" t="s">
        <v>5</v>
      </c>
      <c r="B69" s="792">
        <f t="shared" si="24"/>
        <v>0</v>
      </c>
      <c r="C69" s="787">
        <f t="shared" si="23"/>
        <v>0</v>
      </c>
      <c r="D69" s="787">
        <f t="shared" si="23"/>
        <v>0</v>
      </c>
      <c r="E69" s="787">
        <f t="shared" si="23"/>
        <v>0</v>
      </c>
      <c r="F69" s="787">
        <f t="shared" si="23"/>
        <v>0</v>
      </c>
      <c r="G69" s="787">
        <f t="shared" si="23"/>
        <v>0</v>
      </c>
      <c r="H69" s="787">
        <f t="shared" si="23"/>
        <v>0</v>
      </c>
      <c r="I69" s="787">
        <f t="shared" si="23"/>
        <v>0.85</v>
      </c>
      <c r="J69" s="787">
        <f t="shared" si="23"/>
        <v>0.8</v>
      </c>
      <c r="K69" s="787">
        <f t="shared" si="23"/>
        <v>0.8</v>
      </c>
      <c r="L69" s="787">
        <f t="shared" si="23"/>
        <v>0.8</v>
      </c>
      <c r="M69" s="787">
        <f t="shared" si="23"/>
        <v>0</v>
      </c>
      <c r="N69" s="787">
        <f t="shared" si="23"/>
        <v>0</v>
      </c>
      <c r="O69" s="787">
        <f t="shared" si="23"/>
        <v>0</v>
      </c>
      <c r="P69" s="787">
        <f t="shared" si="23"/>
        <v>0</v>
      </c>
      <c r="Q69" s="787">
        <f t="shared" si="23"/>
        <v>0</v>
      </c>
      <c r="R69" s="787">
        <f t="shared" si="23"/>
        <v>0</v>
      </c>
      <c r="S69" s="787">
        <f t="shared" si="23"/>
        <v>0</v>
      </c>
      <c r="T69" s="787">
        <f t="shared" si="23"/>
        <v>0</v>
      </c>
      <c r="U69" s="787">
        <f t="shared" si="23"/>
        <v>0</v>
      </c>
      <c r="V69" s="787">
        <f t="shared" si="23"/>
        <v>0</v>
      </c>
      <c r="W69" s="788">
        <f t="shared" si="23"/>
        <v>0</v>
      </c>
      <c r="X69" s="787"/>
    </row>
    <row r="70" spans="1:50">
      <c r="A70" s="421" t="s">
        <v>6</v>
      </c>
      <c r="B70" s="792">
        <f t="shared" si="24"/>
        <v>0</v>
      </c>
      <c r="C70" s="787">
        <f t="shared" si="23"/>
        <v>0</v>
      </c>
      <c r="D70" s="787">
        <f t="shared" si="23"/>
        <v>0</v>
      </c>
      <c r="E70" s="787">
        <f t="shared" si="23"/>
        <v>0</v>
      </c>
      <c r="F70" s="787">
        <f t="shared" si="23"/>
        <v>0</v>
      </c>
      <c r="G70" s="787">
        <f t="shared" si="23"/>
        <v>0</v>
      </c>
      <c r="H70" s="787">
        <f t="shared" si="23"/>
        <v>0</v>
      </c>
      <c r="I70" s="787">
        <f t="shared" si="23"/>
        <v>0</v>
      </c>
      <c r="J70" s="787">
        <f t="shared" si="23"/>
        <v>0</v>
      </c>
      <c r="K70" s="787">
        <f t="shared" si="23"/>
        <v>0</v>
      </c>
      <c r="L70" s="787">
        <f t="shared" si="23"/>
        <v>0</v>
      </c>
      <c r="M70" s="787">
        <f t="shared" si="23"/>
        <v>0.94999999999999984</v>
      </c>
      <c r="N70" s="787">
        <f t="shared" si="23"/>
        <v>0.95</v>
      </c>
      <c r="O70" s="787">
        <f t="shared" si="23"/>
        <v>0.95000000000000007</v>
      </c>
      <c r="P70" s="787">
        <f t="shared" si="23"/>
        <v>0</v>
      </c>
      <c r="Q70" s="787">
        <f t="shared" si="23"/>
        <v>0</v>
      </c>
      <c r="R70" s="787">
        <f t="shared" si="23"/>
        <v>0</v>
      </c>
      <c r="S70" s="787">
        <f t="shared" si="23"/>
        <v>0</v>
      </c>
      <c r="T70" s="787">
        <f t="shared" si="23"/>
        <v>0</v>
      </c>
      <c r="U70" s="787">
        <f t="shared" si="23"/>
        <v>0</v>
      </c>
      <c r="V70" s="787">
        <f t="shared" si="23"/>
        <v>0</v>
      </c>
      <c r="W70" s="788">
        <f t="shared" si="23"/>
        <v>0</v>
      </c>
      <c r="X70" s="787"/>
    </row>
    <row r="71" spans="1:50">
      <c r="A71" s="421" t="s">
        <v>7</v>
      </c>
      <c r="B71" s="792">
        <f t="shared" si="24"/>
        <v>0</v>
      </c>
      <c r="C71" s="787">
        <f t="shared" si="23"/>
        <v>0</v>
      </c>
      <c r="D71" s="787">
        <f t="shared" si="23"/>
        <v>0</v>
      </c>
      <c r="E71" s="787">
        <f t="shared" si="23"/>
        <v>0.21965621724886936</v>
      </c>
      <c r="F71" s="787">
        <f t="shared" si="23"/>
        <v>7.9158712518578839E-2</v>
      </c>
      <c r="G71" s="787">
        <f t="shared" si="23"/>
        <v>0</v>
      </c>
      <c r="H71" s="787">
        <f t="shared" si="23"/>
        <v>0</v>
      </c>
      <c r="I71" s="787">
        <f t="shared" si="23"/>
        <v>0</v>
      </c>
      <c r="J71" s="787">
        <f t="shared" si="23"/>
        <v>0</v>
      </c>
      <c r="K71" s="787">
        <f t="shared" si="23"/>
        <v>0</v>
      </c>
      <c r="L71" s="787">
        <f t="shared" si="23"/>
        <v>0</v>
      </c>
      <c r="M71" s="787">
        <f t="shared" si="23"/>
        <v>0</v>
      </c>
      <c r="N71" s="787">
        <f t="shared" si="23"/>
        <v>0</v>
      </c>
      <c r="O71" s="787">
        <f t="shared" si="23"/>
        <v>0</v>
      </c>
      <c r="P71" s="787">
        <f t="shared" si="23"/>
        <v>0.33597385496371851</v>
      </c>
      <c r="Q71" s="787">
        <f t="shared" si="23"/>
        <v>0.30938137743039551</v>
      </c>
      <c r="R71" s="787">
        <f t="shared" si="23"/>
        <v>0.39030671597738276</v>
      </c>
      <c r="S71" s="787">
        <f t="shared" si="23"/>
        <v>0.41087547621527587</v>
      </c>
      <c r="T71" s="787">
        <f t="shared" si="23"/>
        <v>0.14999711446242303</v>
      </c>
      <c r="U71" s="787">
        <f t="shared" si="23"/>
        <v>0.29685915215721298</v>
      </c>
      <c r="V71" s="787">
        <f t="shared" si="23"/>
        <v>0.86488382443662437</v>
      </c>
      <c r="W71" s="788">
        <f t="shared" si="23"/>
        <v>8.1846825410897855E-2</v>
      </c>
      <c r="X71" s="787"/>
      <c r="AX71" s="270"/>
    </row>
    <row r="72" spans="1:50">
      <c r="A72" s="421" t="s">
        <v>8</v>
      </c>
      <c r="B72" s="792">
        <f t="shared" si="24"/>
        <v>0</v>
      </c>
      <c r="C72" s="787">
        <f t="shared" si="23"/>
        <v>0</v>
      </c>
      <c r="D72" s="787">
        <f t="shared" si="23"/>
        <v>0</v>
      </c>
      <c r="E72" s="787">
        <f t="shared" si="23"/>
        <v>8.2762247275907821E-2</v>
      </c>
      <c r="F72" s="787">
        <f t="shared" si="23"/>
        <v>2.9825483756202871E-2</v>
      </c>
      <c r="G72" s="787">
        <f t="shared" si="23"/>
        <v>0</v>
      </c>
      <c r="H72" s="787">
        <f t="shared" si="23"/>
        <v>0</v>
      </c>
      <c r="I72" s="787">
        <f t="shared" si="23"/>
        <v>0</v>
      </c>
      <c r="J72" s="787">
        <f t="shared" si="23"/>
        <v>0</v>
      </c>
      <c r="K72" s="787">
        <f t="shared" si="23"/>
        <v>0</v>
      </c>
      <c r="L72" s="787">
        <f t="shared" si="23"/>
        <v>0</v>
      </c>
      <c r="M72" s="787">
        <f t="shared" si="23"/>
        <v>0</v>
      </c>
      <c r="N72" s="787">
        <f t="shared" si="23"/>
        <v>0</v>
      </c>
      <c r="O72" s="787">
        <f t="shared" si="23"/>
        <v>0</v>
      </c>
      <c r="P72" s="787">
        <f t="shared" si="23"/>
        <v>0.51170148969413554</v>
      </c>
      <c r="Q72" s="787">
        <f t="shared" si="23"/>
        <v>8.7802089237229555E-2</v>
      </c>
      <c r="R72" s="787">
        <f t="shared" si="23"/>
        <v>0.28126020589170853</v>
      </c>
      <c r="S72" s="787">
        <f t="shared" si="23"/>
        <v>0.25497015717706845</v>
      </c>
      <c r="T72" s="787">
        <f t="shared" si="23"/>
        <v>0.21044371282787713</v>
      </c>
      <c r="U72" s="787">
        <f t="shared" si="23"/>
        <v>0.2442577936170752</v>
      </c>
      <c r="V72" s="787">
        <f t="shared" si="23"/>
        <v>0</v>
      </c>
      <c r="W72" s="788">
        <f t="shared" si="23"/>
        <v>9.9475372422475852E-2</v>
      </c>
      <c r="X72" s="787"/>
      <c r="AX72" s="270"/>
    </row>
    <row r="73" spans="1:50">
      <c r="A73" s="421" t="s">
        <v>9</v>
      </c>
      <c r="B73" s="792">
        <f t="shared" si="24"/>
        <v>0</v>
      </c>
      <c r="C73" s="787">
        <f t="shared" si="23"/>
        <v>0</v>
      </c>
      <c r="D73" s="787">
        <f t="shared" si="23"/>
        <v>0</v>
      </c>
      <c r="E73" s="787">
        <f t="shared" si="23"/>
        <v>1.6337540879360648E-2</v>
      </c>
      <c r="F73" s="787">
        <f t="shared" si="23"/>
        <v>5.8876489722327497E-3</v>
      </c>
      <c r="G73" s="787">
        <f t="shared" si="23"/>
        <v>0</v>
      </c>
      <c r="H73" s="787">
        <f t="shared" si="23"/>
        <v>0</v>
      </c>
      <c r="I73" s="787">
        <f t="shared" si="23"/>
        <v>0</v>
      </c>
      <c r="J73" s="787">
        <f t="shared" si="23"/>
        <v>0</v>
      </c>
      <c r="K73" s="787">
        <f t="shared" si="23"/>
        <v>0</v>
      </c>
      <c r="L73" s="787">
        <f t="shared" si="23"/>
        <v>0</v>
      </c>
      <c r="M73" s="787">
        <f t="shared" si="23"/>
        <v>0</v>
      </c>
      <c r="N73" s="787">
        <f t="shared" si="23"/>
        <v>0</v>
      </c>
      <c r="O73" s="787">
        <f t="shared" si="23"/>
        <v>0</v>
      </c>
      <c r="P73" s="787">
        <f t="shared" si="23"/>
        <v>7.6049053670041366E-3</v>
      </c>
      <c r="Q73" s="787">
        <f t="shared" si="23"/>
        <v>6.9135503336401234E-4</v>
      </c>
      <c r="R73" s="787">
        <f t="shared" si="23"/>
        <v>4.6544242109738988E-3</v>
      </c>
      <c r="S73" s="787">
        <f t="shared" si="23"/>
        <v>2.7066895666355462E-3</v>
      </c>
      <c r="T73" s="787">
        <f t="shared" si="23"/>
        <v>0.40611159049975437</v>
      </c>
      <c r="U73" s="787">
        <f t="shared" si="23"/>
        <v>7.2912774214052307E-3</v>
      </c>
      <c r="V73" s="787">
        <f t="shared" si="23"/>
        <v>1.7416106009597755E-4</v>
      </c>
      <c r="W73" s="788">
        <f t="shared" si="23"/>
        <v>6.2959096469921427E-3</v>
      </c>
      <c r="X73" s="787"/>
      <c r="AX73" s="270"/>
    </row>
    <row r="74" spans="1:50">
      <c r="A74" s="421" t="s">
        <v>78</v>
      </c>
      <c r="B74" s="792">
        <f t="shared" si="24"/>
        <v>0</v>
      </c>
      <c r="C74" s="787">
        <f t="shared" si="23"/>
        <v>0</v>
      </c>
      <c r="D74" s="787">
        <f t="shared" si="23"/>
        <v>0</v>
      </c>
      <c r="E74" s="787">
        <f t="shared" si="23"/>
        <v>4.3502623785482185E-3</v>
      </c>
      <c r="F74" s="787">
        <f t="shared" si="23"/>
        <v>1.5677278490766687E-3</v>
      </c>
      <c r="G74" s="787">
        <f t="shared" si="23"/>
        <v>0</v>
      </c>
      <c r="H74" s="787">
        <f t="shared" si="23"/>
        <v>0</v>
      </c>
      <c r="I74" s="787">
        <f t="shared" si="23"/>
        <v>0</v>
      </c>
      <c r="J74" s="787">
        <f t="shared" si="23"/>
        <v>0</v>
      </c>
      <c r="K74" s="787">
        <f t="shared" si="23"/>
        <v>0</v>
      </c>
      <c r="L74" s="787">
        <f t="shared" si="23"/>
        <v>0</v>
      </c>
      <c r="M74" s="787">
        <f t="shared" si="23"/>
        <v>0</v>
      </c>
      <c r="N74" s="787">
        <f t="shared" si="23"/>
        <v>0</v>
      </c>
      <c r="O74" s="787">
        <f t="shared" si="23"/>
        <v>0</v>
      </c>
      <c r="P74" s="787">
        <f t="shared" si="23"/>
        <v>0</v>
      </c>
      <c r="Q74" s="787">
        <f t="shared" si="23"/>
        <v>1.2617229358893225E-2</v>
      </c>
      <c r="R74" s="787">
        <f t="shared" si="23"/>
        <v>4.6876700981951409E-2</v>
      </c>
      <c r="S74" s="787">
        <f t="shared" si="23"/>
        <v>9.7440824398879675E-3</v>
      </c>
      <c r="T74" s="787">
        <f t="shared" si="23"/>
        <v>4.4775258048484497E-4</v>
      </c>
      <c r="U74" s="787">
        <f t="shared" si="23"/>
        <v>5.2080553010037363E-3</v>
      </c>
      <c r="V74" s="787">
        <f t="shared" si="23"/>
        <v>0</v>
      </c>
      <c r="W74" s="788">
        <f t="shared" si="23"/>
        <v>0.13599164837503028</v>
      </c>
      <c r="X74" s="787"/>
      <c r="AX74" s="270"/>
    </row>
    <row r="75" spans="1:50">
      <c r="A75" s="421" t="s">
        <v>10</v>
      </c>
      <c r="B75" s="792">
        <f t="shared" si="24"/>
        <v>0</v>
      </c>
      <c r="C75" s="787">
        <f t="shared" si="23"/>
        <v>0</v>
      </c>
      <c r="D75" s="787">
        <f t="shared" si="23"/>
        <v>0</v>
      </c>
      <c r="E75" s="787">
        <f t="shared" si="23"/>
        <v>0</v>
      </c>
      <c r="F75" s="787">
        <f t="shared" si="23"/>
        <v>0</v>
      </c>
      <c r="G75" s="787">
        <f t="shared" si="23"/>
        <v>0</v>
      </c>
      <c r="H75" s="787">
        <f t="shared" si="23"/>
        <v>0</v>
      </c>
      <c r="I75" s="787">
        <f t="shared" si="23"/>
        <v>0</v>
      </c>
      <c r="J75" s="787">
        <f t="shared" si="23"/>
        <v>0</v>
      </c>
      <c r="K75" s="787">
        <f t="shared" si="23"/>
        <v>0</v>
      </c>
      <c r="L75" s="787">
        <f t="shared" si="23"/>
        <v>0</v>
      </c>
      <c r="M75" s="787">
        <f t="shared" si="23"/>
        <v>0</v>
      </c>
      <c r="N75" s="787">
        <f t="shared" si="23"/>
        <v>0</v>
      </c>
      <c r="O75" s="787">
        <f t="shared" si="23"/>
        <v>0</v>
      </c>
      <c r="P75" s="787">
        <f t="shared" si="23"/>
        <v>9.7777354718624632E-3</v>
      </c>
      <c r="Q75" s="787">
        <f t="shared" si="23"/>
        <v>0.19091769246347204</v>
      </c>
      <c r="R75" s="787">
        <f t="shared" si="23"/>
        <v>8.2187332777986538E-2</v>
      </c>
      <c r="S75" s="787">
        <f t="shared" si="23"/>
        <v>0.11205694805871162</v>
      </c>
      <c r="T75" s="787">
        <f t="shared" si="23"/>
        <v>5.8834689075708622E-2</v>
      </c>
      <c r="U75" s="787">
        <f t="shared" si="23"/>
        <v>0.18686502420001411</v>
      </c>
      <c r="V75" s="787">
        <f t="shared" si="23"/>
        <v>0</v>
      </c>
      <c r="W75" s="788">
        <f t="shared" si="23"/>
        <v>0.32486893778479459</v>
      </c>
      <c r="X75" s="787"/>
    </row>
    <row r="76" spans="1:50">
      <c r="A76" s="421" t="s">
        <v>11</v>
      </c>
      <c r="B76" s="792">
        <f t="shared" si="24"/>
        <v>0</v>
      </c>
      <c r="C76" s="787">
        <f t="shared" si="23"/>
        <v>0</v>
      </c>
      <c r="D76" s="787">
        <f t="shared" si="23"/>
        <v>0</v>
      </c>
      <c r="E76" s="787">
        <f t="shared" si="23"/>
        <v>0</v>
      </c>
      <c r="F76" s="787">
        <f t="shared" si="23"/>
        <v>0</v>
      </c>
      <c r="G76" s="787">
        <f t="shared" si="23"/>
        <v>0</v>
      </c>
      <c r="H76" s="787">
        <f t="shared" si="23"/>
        <v>0</v>
      </c>
      <c r="I76" s="787">
        <f t="shared" ref="C76:W85" si="25">I14/I$25</f>
        <v>0</v>
      </c>
      <c r="J76" s="787">
        <f t="shared" si="25"/>
        <v>0</v>
      </c>
      <c r="K76" s="787">
        <f t="shared" si="25"/>
        <v>0</v>
      </c>
      <c r="L76" s="787">
        <f t="shared" si="25"/>
        <v>0</v>
      </c>
      <c r="M76" s="787">
        <f t="shared" si="25"/>
        <v>0</v>
      </c>
      <c r="N76" s="787">
        <f t="shared" si="25"/>
        <v>0</v>
      </c>
      <c r="O76" s="787">
        <f t="shared" si="25"/>
        <v>0</v>
      </c>
      <c r="P76" s="787">
        <f t="shared" si="25"/>
        <v>0</v>
      </c>
      <c r="Q76" s="787">
        <f t="shared" si="25"/>
        <v>0.17576549464891073</v>
      </c>
      <c r="R76" s="787">
        <f t="shared" si="25"/>
        <v>3.7357878535448377E-2</v>
      </c>
      <c r="S76" s="787">
        <f t="shared" si="25"/>
        <v>5.6028474029355811E-2</v>
      </c>
      <c r="T76" s="787">
        <f t="shared" si="25"/>
        <v>2.9417344537854311E-2</v>
      </c>
      <c r="U76" s="787">
        <f t="shared" si="25"/>
        <v>9.3432512100007054E-2</v>
      </c>
      <c r="V76" s="787">
        <f t="shared" si="25"/>
        <v>0</v>
      </c>
      <c r="W76" s="788">
        <f t="shared" si="25"/>
        <v>0.16243446889239729</v>
      </c>
      <c r="X76" s="787"/>
    </row>
    <row r="77" spans="1:50">
      <c r="A77" s="421" t="s">
        <v>12</v>
      </c>
      <c r="B77" s="792">
        <f t="shared" si="24"/>
        <v>0</v>
      </c>
      <c r="C77" s="787">
        <f t="shared" si="25"/>
        <v>0</v>
      </c>
      <c r="D77" s="787">
        <f t="shared" si="25"/>
        <v>0</v>
      </c>
      <c r="E77" s="787">
        <f t="shared" si="25"/>
        <v>0</v>
      </c>
      <c r="F77" s="787">
        <f t="shared" si="25"/>
        <v>0</v>
      </c>
      <c r="G77" s="787">
        <f t="shared" si="25"/>
        <v>0</v>
      </c>
      <c r="H77" s="787">
        <f t="shared" si="25"/>
        <v>0</v>
      </c>
      <c r="I77" s="787">
        <f t="shared" si="25"/>
        <v>0</v>
      </c>
      <c r="J77" s="787">
        <f t="shared" si="25"/>
        <v>0</v>
      </c>
      <c r="K77" s="787">
        <f t="shared" si="25"/>
        <v>0</v>
      </c>
      <c r="L77" s="787">
        <f t="shared" si="25"/>
        <v>0</v>
      </c>
      <c r="M77" s="787">
        <f t="shared" si="25"/>
        <v>0</v>
      </c>
      <c r="N77" s="787">
        <f t="shared" si="25"/>
        <v>0</v>
      </c>
      <c r="O77" s="787">
        <f t="shared" si="25"/>
        <v>0</v>
      </c>
      <c r="P77" s="787">
        <f t="shared" si="25"/>
        <v>0</v>
      </c>
      <c r="Q77" s="787">
        <f t="shared" si="25"/>
        <v>8.7882747324455363E-2</v>
      </c>
      <c r="R77" s="787">
        <f t="shared" si="25"/>
        <v>2.2414727121269008E-2</v>
      </c>
      <c r="S77" s="787">
        <f t="shared" si="25"/>
        <v>1.8676158009785268E-2</v>
      </c>
      <c r="T77" s="787">
        <f t="shared" si="25"/>
        <v>9.8057815126181037E-3</v>
      </c>
      <c r="U77" s="787">
        <f t="shared" si="25"/>
        <v>3.1144170700002347E-2</v>
      </c>
      <c r="V77" s="787">
        <f t="shared" si="25"/>
        <v>0</v>
      </c>
      <c r="W77" s="788">
        <f t="shared" si="25"/>
        <v>5.4144822964132429E-2</v>
      </c>
      <c r="X77" s="787"/>
    </row>
    <row r="78" spans="1:50">
      <c r="A78" s="421" t="s">
        <v>13</v>
      </c>
      <c r="B78" s="792">
        <f t="shared" si="24"/>
        <v>0</v>
      </c>
      <c r="C78" s="787">
        <f t="shared" si="25"/>
        <v>0</v>
      </c>
      <c r="D78" s="787">
        <f t="shared" si="25"/>
        <v>0</v>
      </c>
      <c r="E78" s="787">
        <f t="shared" si="25"/>
        <v>1.5986386679877267E-2</v>
      </c>
      <c r="F78" s="787">
        <f t="shared" si="25"/>
        <v>5.7611016125688856E-3</v>
      </c>
      <c r="G78" s="787">
        <f t="shared" si="25"/>
        <v>0</v>
      </c>
      <c r="H78" s="787">
        <f t="shared" si="25"/>
        <v>0</v>
      </c>
      <c r="I78" s="787">
        <f t="shared" si="25"/>
        <v>0</v>
      </c>
      <c r="J78" s="787">
        <f t="shared" si="25"/>
        <v>0</v>
      </c>
      <c r="K78" s="787">
        <f t="shared" si="25"/>
        <v>0</v>
      </c>
      <c r="L78" s="787">
        <f t="shared" si="25"/>
        <v>0</v>
      </c>
      <c r="M78" s="787">
        <f t="shared" si="25"/>
        <v>0</v>
      </c>
      <c r="N78" s="787">
        <f t="shared" si="25"/>
        <v>0</v>
      </c>
      <c r="O78" s="787">
        <f t="shared" si="25"/>
        <v>0</v>
      </c>
      <c r="P78" s="787">
        <f t="shared" si="25"/>
        <v>0</v>
      </c>
      <c r="Q78" s="787">
        <f t="shared" si="25"/>
        <v>0</v>
      </c>
      <c r="R78" s="787">
        <f t="shared" si="25"/>
        <v>0</v>
      </c>
      <c r="S78" s="787">
        <f t="shared" si="25"/>
        <v>0</v>
      </c>
      <c r="T78" s="787">
        <f t="shared" si="25"/>
        <v>0</v>
      </c>
      <c r="U78" s="787">
        <f t="shared" si="25"/>
        <v>0</v>
      </c>
      <c r="V78" s="787">
        <f t="shared" si="25"/>
        <v>0</v>
      </c>
      <c r="W78" s="788">
        <f t="shared" si="25"/>
        <v>0</v>
      </c>
      <c r="X78" s="787"/>
    </row>
    <row r="79" spans="1:50">
      <c r="A79" s="421" t="s">
        <v>14</v>
      </c>
      <c r="B79" s="792">
        <f t="shared" si="24"/>
        <v>0</v>
      </c>
      <c r="C79" s="787">
        <f t="shared" si="25"/>
        <v>0</v>
      </c>
      <c r="D79" s="787">
        <f t="shared" si="25"/>
        <v>0</v>
      </c>
      <c r="E79" s="787">
        <f t="shared" si="25"/>
        <v>3.3766254492650166E-2</v>
      </c>
      <c r="F79" s="787">
        <f t="shared" si="25"/>
        <v>1.216852983125213E-2</v>
      </c>
      <c r="G79" s="787">
        <f t="shared" si="25"/>
        <v>0</v>
      </c>
      <c r="H79" s="787">
        <f t="shared" si="25"/>
        <v>0</v>
      </c>
      <c r="I79" s="787">
        <f t="shared" si="25"/>
        <v>0</v>
      </c>
      <c r="J79" s="787">
        <f t="shared" si="25"/>
        <v>0</v>
      </c>
      <c r="K79" s="787">
        <f t="shared" si="25"/>
        <v>0</v>
      </c>
      <c r="L79" s="787">
        <f t="shared" si="25"/>
        <v>0</v>
      </c>
      <c r="M79" s="787">
        <f t="shared" si="25"/>
        <v>0</v>
      </c>
      <c r="N79" s="787">
        <f t="shared" si="25"/>
        <v>0</v>
      </c>
      <c r="O79" s="787">
        <f t="shared" si="25"/>
        <v>0</v>
      </c>
      <c r="P79" s="787">
        <f t="shared" si="25"/>
        <v>0</v>
      </c>
      <c r="Q79" s="787">
        <f t="shared" si="25"/>
        <v>0</v>
      </c>
      <c r="R79" s="787">
        <f t="shared" si="25"/>
        <v>0</v>
      </c>
      <c r="S79" s="787">
        <f t="shared" si="25"/>
        <v>0</v>
      </c>
      <c r="T79" s="787">
        <f t="shared" si="25"/>
        <v>0</v>
      </c>
      <c r="U79" s="787">
        <f t="shared" si="25"/>
        <v>0</v>
      </c>
      <c r="V79" s="787">
        <f t="shared" si="25"/>
        <v>0</v>
      </c>
      <c r="W79" s="788">
        <f t="shared" si="25"/>
        <v>0</v>
      </c>
      <c r="X79" s="787"/>
    </row>
    <row r="80" spans="1:50">
      <c r="A80" s="421" t="s">
        <v>15</v>
      </c>
      <c r="B80" s="792">
        <f t="shared" si="24"/>
        <v>0</v>
      </c>
      <c r="C80" s="787">
        <f t="shared" si="25"/>
        <v>0</v>
      </c>
      <c r="D80" s="787">
        <f t="shared" si="25"/>
        <v>0</v>
      </c>
      <c r="E80" s="787">
        <f t="shared" si="25"/>
        <v>2.4065877854682723E-2</v>
      </c>
      <c r="F80" s="787">
        <f t="shared" si="25"/>
        <v>8.6727520416491569E-3</v>
      </c>
      <c r="G80" s="787">
        <f t="shared" si="25"/>
        <v>0</v>
      </c>
      <c r="H80" s="787">
        <f t="shared" si="25"/>
        <v>0</v>
      </c>
      <c r="I80" s="787">
        <f t="shared" si="25"/>
        <v>0</v>
      </c>
      <c r="J80" s="787">
        <f t="shared" si="25"/>
        <v>0</v>
      </c>
      <c r="K80" s="787">
        <f t="shared" si="25"/>
        <v>0</v>
      </c>
      <c r="L80" s="787">
        <f t="shared" si="25"/>
        <v>0</v>
      </c>
      <c r="M80" s="787">
        <f t="shared" si="25"/>
        <v>0</v>
      </c>
      <c r="N80" s="787">
        <f t="shared" si="25"/>
        <v>0</v>
      </c>
      <c r="O80" s="787">
        <f t="shared" si="25"/>
        <v>0</v>
      </c>
      <c r="P80" s="787">
        <f t="shared" si="25"/>
        <v>0</v>
      </c>
      <c r="Q80" s="787">
        <f t="shared" si="25"/>
        <v>0</v>
      </c>
      <c r="R80" s="787">
        <f t="shared" si="25"/>
        <v>0</v>
      </c>
      <c r="S80" s="787">
        <f t="shared" si="25"/>
        <v>0</v>
      </c>
      <c r="T80" s="787">
        <f t="shared" si="25"/>
        <v>0</v>
      </c>
      <c r="U80" s="787">
        <f t="shared" si="25"/>
        <v>0</v>
      </c>
      <c r="V80" s="787">
        <f t="shared" si="25"/>
        <v>0</v>
      </c>
      <c r="W80" s="788">
        <f t="shared" si="25"/>
        <v>0</v>
      </c>
      <c r="X80" s="787"/>
    </row>
    <row r="81" spans="1:49">
      <c r="A81" s="421" t="s">
        <v>16</v>
      </c>
      <c r="B81" s="792">
        <f t="shared" si="24"/>
        <v>0</v>
      </c>
      <c r="C81" s="787">
        <f t="shared" si="25"/>
        <v>0</v>
      </c>
      <c r="D81" s="787">
        <f t="shared" si="25"/>
        <v>0</v>
      </c>
      <c r="E81" s="787">
        <f t="shared" si="25"/>
        <v>9.8393931568406673E-3</v>
      </c>
      <c r="F81" s="787">
        <f t="shared" si="25"/>
        <v>3.5458759329227742E-3</v>
      </c>
      <c r="G81" s="787">
        <f t="shared" si="25"/>
        <v>0</v>
      </c>
      <c r="H81" s="787">
        <f t="shared" si="25"/>
        <v>0</v>
      </c>
      <c r="I81" s="787">
        <f t="shared" si="25"/>
        <v>0</v>
      </c>
      <c r="J81" s="787">
        <f t="shared" si="25"/>
        <v>0</v>
      </c>
      <c r="K81" s="787">
        <f t="shared" si="25"/>
        <v>0</v>
      </c>
      <c r="L81" s="787">
        <f t="shared" si="25"/>
        <v>0</v>
      </c>
      <c r="M81" s="787">
        <f t="shared" si="25"/>
        <v>0</v>
      </c>
      <c r="N81" s="787">
        <f t="shared" si="25"/>
        <v>0</v>
      </c>
      <c r="O81" s="787">
        <f t="shared" si="25"/>
        <v>0</v>
      </c>
      <c r="P81" s="787">
        <f t="shared" si="25"/>
        <v>0</v>
      </c>
      <c r="Q81" s="787">
        <f t="shared" si="25"/>
        <v>0</v>
      </c>
      <c r="R81" s="787">
        <f t="shared" si="25"/>
        <v>0</v>
      </c>
      <c r="S81" s="787">
        <f t="shared" si="25"/>
        <v>0</v>
      </c>
      <c r="T81" s="787">
        <f t="shared" si="25"/>
        <v>0</v>
      </c>
      <c r="U81" s="787">
        <f t="shared" si="25"/>
        <v>0</v>
      </c>
      <c r="V81" s="787">
        <f t="shared" si="25"/>
        <v>0</v>
      </c>
      <c r="W81" s="788">
        <f t="shared" si="25"/>
        <v>0</v>
      </c>
      <c r="X81" s="787"/>
    </row>
    <row r="82" spans="1:49">
      <c r="A82" s="421" t="s">
        <v>17</v>
      </c>
      <c r="B82" s="792">
        <f t="shared" si="24"/>
        <v>0</v>
      </c>
      <c r="C82" s="787">
        <f t="shared" si="25"/>
        <v>0</v>
      </c>
      <c r="D82" s="787">
        <f t="shared" si="25"/>
        <v>0</v>
      </c>
      <c r="E82" s="787">
        <f t="shared" si="25"/>
        <v>7.76869162502583E-3</v>
      </c>
      <c r="F82" s="787">
        <f t="shared" si="25"/>
        <v>2.7996458952680801E-3</v>
      </c>
      <c r="G82" s="787">
        <f t="shared" si="25"/>
        <v>0</v>
      </c>
      <c r="H82" s="787">
        <f t="shared" si="25"/>
        <v>0</v>
      </c>
      <c r="I82" s="787">
        <f t="shared" si="25"/>
        <v>0</v>
      </c>
      <c r="J82" s="787">
        <f t="shared" si="25"/>
        <v>0</v>
      </c>
      <c r="K82" s="787">
        <f t="shared" si="25"/>
        <v>0</v>
      </c>
      <c r="L82" s="787">
        <f t="shared" si="25"/>
        <v>0</v>
      </c>
      <c r="M82" s="787">
        <f t="shared" si="25"/>
        <v>0</v>
      </c>
      <c r="N82" s="787">
        <f t="shared" si="25"/>
        <v>0</v>
      </c>
      <c r="O82" s="787">
        <f t="shared" si="25"/>
        <v>0</v>
      </c>
      <c r="P82" s="787">
        <f t="shared" si="25"/>
        <v>0</v>
      </c>
      <c r="Q82" s="787">
        <f t="shared" si="25"/>
        <v>0</v>
      </c>
      <c r="R82" s="787">
        <f t="shared" si="25"/>
        <v>0</v>
      </c>
      <c r="S82" s="787">
        <f t="shared" si="25"/>
        <v>0</v>
      </c>
      <c r="T82" s="787">
        <f t="shared" si="25"/>
        <v>0</v>
      </c>
      <c r="U82" s="787">
        <f t="shared" si="25"/>
        <v>0</v>
      </c>
      <c r="V82" s="787">
        <f t="shared" si="25"/>
        <v>0</v>
      </c>
      <c r="W82" s="788">
        <f t="shared" si="25"/>
        <v>0</v>
      </c>
      <c r="X82" s="787"/>
      <c r="AR82" s="270"/>
      <c r="AS82" s="270"/>
      <c r="AT82" s="270"/>
      <c r="AU82" s="270"/>
      <c r="AV82" s="270"/>
      <c r="AW82" s="270"/>
    </row>
    <row r="83" spans="1:49">
      <c r="A83" s="421" t="s">
        <v>18</v>
      </c>
      <c r="B83" s="792">
        <f t="shared" si="24"/>
        <v>0</v>
      </c>
      <c r="C83" s="787">
        <f t="shared" si="25"/>
        <v>0</v>
      </c>
      <c r="D83" s="787">
        <f t="shared" si="25"/>
        <v>0</v>
      </c>
      <c r="E83" s="787">
        <f t="shared" si="25"/>
        <v>8.3522233478086037E-3</v>
      </c>
      <c r="F83" s="787">
        <f t="shared" si="25"/>
        <v>3.0099364140968631E-3</v>
      </c>
      <c r="G83" s="787">
        <f t="shared" si="25"/>
        <v>0</v>
      </c>
      <c r="H83" s="787">
        <f t="shared" si="25"/>
        <v>0</v>
      </c>
      <c r="I83" s="787">
        <f t="shared" si="25"/>
        <v>0</v>
      </c>
      <c r="J83" s="787">
        <f t="shared" si="25"/>
        <v>0</v>
      </c>
      <c r="K83" s="787">
        <f t="shared" si="25"/>
        <v>0</v>
      </c>
      <c r="L83" s="787">
        <f t="shared" si="25"/>
        <v>0</v>
      </c>
      <c r="M83" s="787">
        <f t="shared" si="25"/>
        <v>0</v>
      </c>
      <c r="N83" s="787">
        <f t="shared" si="25"/>
        <v>0</v>
      </c>
      <c r="O83" s="787">
        <f t="shared" si="25"/>
        <v>0</v>
      </c>
      <c r="P83" s="787">
        <f t="shared" si="25"/>
        <v>0</v>
      </c>
      <c r="Q83" s="787">
        <f t="shared" si="25"/>
        <v>0</v>
      </c>
      <c r="R83" s="787">
        <f t="shared" si="25"/>
        <v>0</v>
      </c>
      <c r="S83" s="787">
        <f t="shared" si="25"/>
        <v>0</v>
      </c>
      <c r="T83" s="787">
        <f t="shared" si="25"/>
        <v>0</v>
      </c>
      <c r="U83" s="787">
        <f t="shared" si="25"/>
        <v>0</v>
      </c>
      <c r="V83" s="787">
        <f t="shared" si="25"/>
        <v>0</v>
      </c>
      <c r="W83" s="788">
        <f t="shared" si="25"/>
        <v>0</v>
      </c>
      <c r="X83" s="787"/>
      <c r="AW83" s="270"/>
    </row>
    <row r="84" spans="1:49">
      <c r="A84" s="421" t="s">
        <v>19</v>
      </c>
      <c r="B84" s="792">
        <f t="shared" si="24"/>
        <v>0</v>
      </c>
      <c r="C84" s="787">
        <f t="shared" si="25"/>
        <v>0</v>
      </c>
      <c r="D84" s="787">
        <f t="shared" si="25"/>
        <v>0</v>
      </c>
      <c r="E84" s="787">
        <f t="shared" si="25"/>
        <v>4.2081428082003623E-2</v>
      </c>
      <c r="F84" s="787">
        <f t="shared" si="25"/>
        <v>1.5165114421234173E-2</v>
      </c>
      <c r="G84" s="787">
        <f t="shared" si="25"/>
        <v>0</v>
      </c>
      <c r="H84" s="787">
        <f t="shared" si="25"/>
        <v>0</v>
      </c>
      <c r="I84" s="787">
        <f t="shared" si="25"/>
        <v>0</v>
      </c>
      <c r="J84" s="787">
        <f t="shared" si="25"/>
        <v>0</v>
      </c>
      <c r="K84" s="787">
        <f t="shared" si="25"/>
        <v>0</v>
      </c>
      <c r="L84" s="787">
        <f t="shared" si="25"/>
        <v>0</v>
      </c>
      <c r="M84" s="787">
        <f t="shared" si="25"/>
        <v>0</v>
      </c>
      <c r="N84" s="787">
        <f t="shared" si="25"/>
        <v>0</v>
      </c>
      <c r="O84" s="787">
        <f t="shared" si="25"/>
        <v>0</v>
      </c>
      <c r="P84" s="787">
        <f t="shared" si="25"/>
        <v>0</v>
      </c>
      <c r="Q84" s="787">
        <f t="shared" si="25"/>
        <v>0</v>
      </c>
      <c r="R84" s="787">
        <f t="shared" si="25"/>
        <v>0</v>
      </c>
      <c r="S84" s="787">
        <f t="shared" si="25"/>
        <v>0</v>
      </c>
      <c r="T84" s="787">
        <f t="shared" si="25"/>
        <v>0</v>
      </c>
      <c r="U84" s="787">
        <f t="shared" si="25"/>
        <v>0</v>
      </c>
      <c r="V84" s="787">
        <f t="shared" si="25"/>
        <v>0</v>
      </c>
      <c r="W84" s="788">
        <f t="shared" si="25"/>
        <v>0</v>
      </c>
      <c r="X84" s="787"/>
      <c r="AW84" s="270"/>
    </row>
    <row r="85" spans="1:49" ht="16.2" thickBot="1">
      <c r="A85" s="421" t="s">
        <v>20</v>
      </c>
      <c r="B85" s="793">
        <f t="shared" si="24"/>
        <v>0</v>
      </c>
      <c r="C85" s="794">
        <f t="shared" si="25"/>
        <v>0</v>
      </c>
      <c r="D85" s="794">
        <f t="shared" si="25"/>
        <v>0</v>
      </c>
      <c r="E85" s="794">
        <f t="shared" si="25"/>
        <v>1.0398164230441965E-3</v>
      </c>
      <c r="F85" s="794">
        <f t="shared" si="25"/>
        <v>3.7472433211665075E-4</v>
      </c>
      <c r="G85" s="794">
        <f t="shared" si="25"/>
        <v>0</v>
      </c>
      <c r="H85" s="794">
        <f t="shared" si="25"/>
        <v>0</v>
      </c>
      <c r="I85" s="794">
        <f t="shared" si="25"/>
        <v>0</v>
      </c>
      <c r="J85" s="794">
        <f t="shared" si="25"/>
        <v>0</v>
      </c>
      <c r="K85" s="794">
        <f t="shared" si="25"/>
        <v>0</v>
      </c>
      <c r="L85" s="794">
        <f t="shared" si="25"/>
        <v>0</v>
      </c>
      <c r="M85" s="794">
        <f t="shared" si="25"/>
        <v>0</v>
      </c>
      <c r="N85" s="794">
        <f t="shared" si="25"/>
        <v>0</v>
      </c>
      <c r="O85" s="794">
        <f t="shared" si="25"/>
        <v>0</v>
      </c>
      <c r="P85" s="794">
        <f t="shared" si="25"/>
        <v>0</v>
      </c>
      <c r="Q85" s="794">
        <f t="shared" si="25"/>
        <v>0</v>
      </c>
      <c r="R85" s="794">
        <f t="shared" si="25"/>
        <v>0</v>
      </c>
      <c r="S85" s="794">
        <f t="shared" si="25"/>
        <v>0</v>
      </c>
      <c r="T85" s="794">
        <f t="shared" si="25"/>
        <v>0</v>
      </c>
      <c r="U85" s="794">
        <f t="shared" si="25"/>
        <v>0</v>
      </c>
      <c r="V85" s="794">
        <f t="shared" si="25"/>
        <v>0</v>
      </c>
      <c r="W85" s="795">
        <f t="shared" si="25"/>
        <v>0</v>
      </c>
      <c r="X85" s="787"/>
      <c r="AW85" s="270"/>
    </row>
    <row r="86" spans="1:49">
      <c r="A86" s="796" t="s">
        <v>153</v>
      </c>
      <c r="B86" s="797">
        <f>SUM(B64:B85)</f>
        <v>0</v>
      </c>
      <c r="C86" s="797">
        <f t="shared" ref="C86:W86" si="26">SUM(C64:C85)</f>
        <v>0</v>
      </c>
      <c r="D86" s="797">
        <f t="shared" si="26"/>
        <v>0.37600004131868592</v>
      </c>
      <c r="E86" s="797">
        <f t="shared" si="26"/>
        <v>0.79660508642129102</v>
      </c>
      <c r="F86" s="797">
        <f t="shared" si="26"/>
        <v>0.96267639555839468</v>
      </c>
      <c r="G86" s="797">
        <f t="shared" si="26"/>
        <v>0.97746305113586573</v>
      </c>
      <c r="H86" s="797">
        <f t="shared" si="26"/>
        <v>0.97649897567825672</v>
      </c>
      <c r="I86" s="797">
        <f t="shared" si="26"/>
        <v>0.85</v>
      </c>
      <c r="J86" s="797">
        <f t="shared" si="26"/>
        <v>0.8</v>
      </c>
      <c r="K86" s="797">
        <f t="shared" si="26"/>
        <v>0.8</v>
      </c>
      <c r="L86" s="797">
        <f t="shared" si="26"/>
        <v>0.8</v>
      </c>
      <c r="M86" s="797">
        <f t="shared" si="26"/>
        <v>0.94999999999999984</v>
      </c>
      <c r="N86" s="797">
        <f t="shared" si="26"/>
        <v>0.95</v>
      </c>
      <c r="O86" s="797">
        <f t="shared" si="26"/>
        <v>0.95000000000000007</v>
      </c>
      <c r="P86" s="797">
        <f t="shared" si="26"/>
        <v>0.86505798549672053</v>
      </c>
      <c r="Q86" s="797">
        <f t="shared" si="26"/>
        <v>0.86505798549672031</v>
      </c>
      <c r="R86" s="797">
        <f t="shared" si="26"/>
        <v>0.86505798549672053</v>
      </c>
      <c r="S86" s="797">
        <f t="shared" si="26"/>
        <v>0.86505798549672064</v>
      </c>
      <c r="T86" s="797">
        <f t="shared" si="26"/>
        <v>0.86505798549672031</v>
      </c>
      <c r="U86" s="797">
        <f t="shared" si="26"/>
        <v>0.86505798549672053</v>
      </c>
      <c r="V86" s="797">
        <f t="shared" si="26"/>
        <v>0.86505798549672031</v>
      </c>
      <c r="W86" s="797">
        <f t="shared" si="26"/>
        <v>0.86505798549672053</v>
      </c>
      <c r="X86" s="787"/>
      <c r="AW86" s="270"/>
    </row>
    <row r="87" spans="1:49">
      <c r="A87" s="796" t="s">
        <v>136</v>
      </c>
      <c r="B87" s="796">
        <f>A!B24</f>
        <v>0</v>
      </c>
      <c r="C87" s="796">
        <f>A!C24</f>
        <v>0</v>
      </c>
      <c r="D87" s="796">
        <f>A!D24</f>
        <v>0.37600004131868592</v>
      </c>
      <c r="E87" s="796">
        <f>A!E24</f>
        <v>0.79660508642129102</v>
      </c>
      <c r="F87" s="796">
        <f>A!F24</f>
        <v>0.96267639555839468</v>
      </c>
      <c r="G87" s="796">
        <f>A!G24</f>
        <v>0.97746305113586573</v>
      </c>
      <c r="H87" s="796">
        <f>A!H24</f>
        <v>0.97649897567825672</v>
      </c>
      <c r="I87" s="796">
        <f>A!I24</f>
        <v>0.85</v>
      </c>
      <c r="J87" s="796">
        <f>A!J24</f>
        <v>0.8</v>
      </c>
      <c r="K87" s="796">
        <f>A!K24</f>
        <v>0.8</v>
      </c>
      <c r="L87" s="796">
        <f>A!L24</f>
        <v>0.8</v>
      </c>
      <c r="M87" s="796">
        <f>A!M24</f>
        <v>0.94999999999999984</v>
      </c>
      <c r="N87" s="796">
        <f>A!N24</f>
        <v>0.95</v>
      </c>
      <c r="O87" s="796">
        <f>A!O24</f>
        <v>0.95000000000000007</v>
      </c>
      <c r="P87" s="796">
        <f>A!P24</f>
        <v>0.86505798549672053</v>
      </c>
      <c r="Q87" s="796">
        <f>A!Q24</f>
        <v>0.86505798549672031</v>
      </c>
      <c r="R87" s="796">
        <f>A!R24</f>
        <v>0.86505798549672053</v>
      </c>
      <c r="S87" s="796">
        <f>A!S24</f>
        <v>0.86505798549672064</v>
      </c>
      <c r="T87" s="796">
        <f>A!T24</f>
        <v>0.86505798549672031</v>
      </c>
      <c r="U87" s="796">
        <f>A!U24</f>
        <v>0.86505798549672053</v>
      </c>
      <c r="V87" s="796">
        <f>A!V24</f>
        <v>0.86505798549672031</v>
      </c>
      <c r="W87" s="796">
        <f>A!W24</f>
        <v>0.86505798549672053</v>
      </c>
      <c r="AW87" s="270"/>
    </row>
    <row r="88" spans="1:49">
      <c r="AW88" s="270"/>
    </row>
    <row r="89" spans="1:49">
      <c r="AW89" s="270"/>
    </row>
    <row r="90" spans="1:49">
      <c r="AW90" s="270"/>
    </row>
    <row r="91" spans="1:49">
      <c r="AW91" s="270"/>
    </row>
    <row r="92" spans="1:49">
      <c r="AW92" s="270"/>
    </row>
    <row r="93" spans="1:49">
      <c r="AW93" s="270"/>
    </row>
    <row r="94" spans="1:49">
      <c r="AW94" s="270"/>
    </row>
    <row r="95" spans="1:49">
      <c r="AW95" s="270"/>
    </row>
  </sheetData>
  <conditionalFormatting sqref="B64:X86">
    <cfRule type="cellIs" dxfId="1" priority="1" operator="greaterThan">
      <formula>0</formula>
    </cfRule>
  </conditionalFormatting>
  <conditionalFormatting sqref="B2:AA25">
    <cfRule type="cellIs" dxfId="0" priority="3" operator="greaterThan">
      <formula>0</formula>
    </cfRule>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FE0D2-0131-4067-9018-F7B0E3B7763B}">
  <dimension ref="A1:AF114"/>
  <sheetViews>
    <sheetView topLeftCell="A26" workbookViewId="0">
      <selection activeCell="M48" sqref="M48"/>
    </sheetView>
  </sheetViews>
  <sheetFormatPr defaultColWidth="8.69921875" defaultRowHeight="15.6"/>
  <cols>
    <col min="1" max="1" width="8.69921875" style="51"/>
    <col min="2" max="2" width="10.69921875" style="51" customWidth="1"/>
    <col min="3" max="4" width="15.69921875" style="51" customWidth="1"/>
    <col min="5" max="10" width="10.69921875" style="51" customWidth="1"/>
    <col min="11" max="16384" width="8.69921875" style="51"/>
  </cols>
  <sheetData>
    <row r="1" spans="1:17" ht="16.2" thickBot="1">
      <c r="A1" s="51" t="s">
        <v>457</v>
      </c>
      <c r="B1" s="51" t="str" cm="1">
        <f t="array" ref="B1:I1">TRANSPOSE(end_use!B2:B9)</f>
        <v>B&amp;C</v>
      </c>
      <c r="C1" s="51" t="str">
        <v>Auto</v>
      </c>
      <c r="D1" s="51" t="str">
        <v>Transp.</v>
      </c>
      <c r="E1" s="51" t="str">
        <v>Cons. Dur.</v>
      </c>
      <c r="F1" s="51" t="str">
        <v>Electrical</v>
      </c>
      <c r="G1" s="51" t="str">
        <v>M&amp;E</v>
      </c>
      <c r="H1" s="51" t="str">
        <v>Cont. &amp; Pack.</v>
      </c>
      <c r="I1" s="51" t="str">
        <v>Other</v>
      </c>
      <c r="J1" s="51" t="s">
        <v>153</v>
      </c>
      <c r="K1" s="51" t="s">
        <v>260</v>
      </c>
      <c r="L1" s="51" t="s">
        <v>460</v>
      </c>
      <c r="M1" s="51" t="s">
        <v>461</v>
      </c>
      <c r="P1" s="51" t="s">
        <v>623</v>
      </c>
      <c r="Q1" s="51" t="s">
        <v>600</v>
      </c>
    </row>
    <row r="2" spans="1:17">
      <c r="A2" s="51">
        <v>2020</v>
      </c>
      <c r="B2" s="740">
        <v>262.24072820496161</v>
      </c>
      <c r="C2" s="587">
        <v>1413.8677185192548</v>
      </c>
      <c r="D2" s="587">
        <v>524.78956542767355</v>
      </c>
      <c r="E2" s="587">
        <v>885.04113954509535</v>
      </c>
      <c r="F2" s="587">
        <v>348.47076409232585</v>
      </c>
      <c r="G2" s="587">
        <v>264.14836117574691</v>
      </c>
      <c r="H2" s="587">
        <v>1699.8356289584726</v>
      </c>
      <c r="I2" s="741">
        <v>261.68704052518302</v>
      </c>
      <c r="J2" s="739">
        <f>SUM(B2:I2)</f>
        <v>5660.0809464487138</v>
      </c>
      <c r="K2" s="739">
        <f>(J2-H2)*0.95+H2*end_use!$G$8</f>
        <v>4384.3728918145298</v>
      </c>
      <c r="L2" s="742">
        <v>0</v>
      </c>
      <c r="M2" s="743">
        <f>K2-L2</f>
        <v>4384.3728918145298</v>
      </c>
      <c r="P2" s="51">
        <v>0</v>
      </c>
      <c r="Q2" s="51">
        <v>0</v>
      </c>
    </row>
    <row r="3" spans="1:17">
      <c r="A3" s="51">
        <v>2021</v>
      </c>
      <c r="B3" s="744">
        <v>277.994841465744</v>
      </c>
      <c r="C3" s="51">
        <v>1406.7481166193727</v>
      </c>
      <c r="D3" s="51">
        <v>545.12424768684627</v>
      </c>
      <c r="E3" s="51">
        <v>915.03527399730672</v>
      </c>
      <c r="F3" s="51">
        <v>363.73250961046875</v>
      </c>
      <c r="G3" s="51">
        <v>273.5338702008666</v>
      </c>
      <c r="H3" s="51">
        <v>1699.8413654609749</v>
      </c>
      <c r="I3" s="745">
        <v>262.20683294143112</v>
      </c>
      <c r="J3" s="739">
        <f t="shared" ref="J3:J32" si="0">SUM(B3:I3)</f>
        <v>5744.2170579830117</v>
      </c>
      <c r="K3" s="739">
        <f>(J3-H3)*0.95+H3*end_use!$G$8</f>
        <v>4464.2988476546516</v>
      </c>
      <c r="L3" s="742">
        <v>617.927988169586</v>
      </c>
      <c r="M3" s="743">
        <f t="shared" ref="M3:M32" si="1">K3-L3</f>
        <v>3846.3708594850655</v>
      </c>
      <c r="P3" s="51">
        <v>1</v>
      </c>
      <c r="Q3" s="51">
        <v>617.927988169586</v>
      </c>
    </row>
    <row r="4" spans="1:17">
      <c r="A4" s="51">
        <v>2022</v>
      </c>
      <c r="B4" s="744">
        <v>294.27720102476275</v>
      </c>
      <c r="C4" s="51">
        <v>1401.1949646476578</v>
      </c>
      <c r="D4" s="51">
        <v>565.54889410607757</v>
      </c>
      <c r="E4" s="51">
        <v>944.04807676150074</v>
      </c>
      <c r="F4" s="51">
        <v>378.86347349259779</v>
      </c>
      <c r="G4" s="51">
        <v>282.92626317576662</v>
      </c>
      <c r="H4" s="51">
        <v>1699.8471019634785</v>
      </c>
      <c r="I4" s="745">
        <v>262.68618365251297</v>
      </c>
      <c r="J4" s="739">
        <f t="shared" si="0"/>
        <v>5829.3921588243547</v>
      </c>
      <c r="K4" s="739">
        <f>(J4-H4)*0.95+H4*end_use!$G$8</f>
        <v>4545.2118433364649</v>
      </c>
      <c r="L4" s="742">
        <v>621.63694916591601</v>
      </c>
      <c r="M4" s="743">
        <f t="shared" si="1"/>
        <v>3923.5748941705488</v>
      </c>
      <c r="P4" s="51">
        <v>2</v>
      </c>
      <c r="Q4" s="51">
        <v>621.63694916591601</v>
      </c>
    </row>
    <row r="5" spans="1:17">
      <c r="A5" s="51">
        <v>2023</v>
      </c>
      <c r="B5" s="744">
        <v>311.07497980264179</v>
      </c>
      <c r="C5" s="51">
        <v>1400.2481126533787</v>
      </c>
      <c r="D5" s="51">
        <v>586.04458758452006</v>
      </c>
      <c r="E5" s="51">
        <v>971.80503917734177</v>
      </c>
      <c r="F5" s="51">
        <v>393.82306537129313</v>
      </c>
      <c r="G5" s="51">
        <v>292.34555413501255</v>
      </c>
      <c r="H5" s="51">
        <v>1699.8528384659808</v>
      </c>
      <c r="I5" s="745">
        <v>263.18144267051309</v>
      </c>
      <c r="J5" s="739">
        <f t="shared" si="0"/>
        <v>5918.3756198606825</v>
      </c>
      <c r="K5" s="739">
        <f>(J5-H5)*0.95+H5*end_use!$G$8</f>
        <v>4629.7427812035157</v>
      </c>
      <c r="L5" s="742">
        <v>627.55467226347605</v>
      </c>
      <c r="M5" s="743">
        <f t="shared" si="1"/>
        <v>4002.1881089400395</v>
      </c>
      <c r="P5" s="51">
        <v>3</v>
      </c>
      <c r="Q5" s="51">
        <v>627.55467226347605</v>
      </c>
    </row>
    <row r="6" spans="1:17">
      <c r="A6" s="51">
        <v>2024</v>
      </c>
      <c r="B6" s="744">
        <v>328.37310475995992</v>
      </c>
      <c r="C6" s="51">
        <v>1406.3525156033425</v>
      </c>
      <c r="D6" s="51">
        <v>606.58180150095336</v>
      </c>
      <c r="E6" s="51">
        <v>998.16067993244212</v>
      </c>
      <c r="F6" s="51">
        <v>408.57454076216789</v>
      </c>
      <c r="G6" s="51">
        <v>301.81328179694367</v>
      </c>
      <c r="H6" s="51">
        <v>1699.8585749684833</v>
      </c>
      <c r="I6" s="745">
        <v>263.73749286690804</v>
      </c>
      <c r="J6" s="739">
        <f t="shared" si="0"/>
        <v>6013.4519921912006</v>
      </c>
      <c r="K6" s="739">
        <f>(J6-H6)*0.95+H6*end_use!$G$8</f>
        <v>4720.061984800046</v>
      </c>
      <c r="L6" s="742">
        <v>636.87797363414097</v>
      </c>
      <c r="M6" s="743">
        <f t="shared" si="1"/>
        <v>4083.1840111659048</v>
      </c>
      <c r="P6" s="51">
        <v>4</v>
      </c>
      <c r="Q6" s="51">
        <v>636.87797363414097</v>
      </c>
    </row>
    <row r="7" spans="1:17">
      <c r="A7" s="51">
        <v>2025</v>
      </c>
      <c r="B7" s="744">
        <v>346.15427926238692</v>
      </c>
      <c r="C7" s="51">
        <v>1420.7304507042195</v>
      </c>
      <c r="D7" s="51">
        <v>627.12045425033659</v>
      </c>
      <c r="E7" s="51">
        <v>1023.1144632335124</v>
      </c>
      <c r="F7" s="51">
        <v>423.08545048481056</v>
      </c>
      <c r="G7" s="51">
        <v>311.35170288767182</v>
      </c>
      <c r="H7" s="51">
        <v>1699.8643114709864</v>
      </c>
      <c r="I7" s="745">
        <v>264.3874853086557</v>
      </c>
      <c r="J7" s="739">
        <f t="shared" si="0"/>
        <v>6115.8085976025795</v>
      </c>
      <c r="K7" s="739">
        <f>(J7-H7)*0.95+H7*end_use!$G$8</f>
        <v>4817.2974098233935</v>
      </c>
      <c r="L7" s="742">
        <v>651.27466011542595</v>
      </c>
      <c r="M7" s="743">
        <f t="shared" si="1"/>
        <v>4166.0227497079677</v>
      </c>
      <c r="P7" s="51">
        <v>5</v>
      </c>
      <c r="Q7" s="51">
        <v>651.27466011542595</v>
      </c>
    </row>
    <row r="8" spans="1:17">
      <c r="A8" s="51">
        <v>2026</v>
      </c>
      <c r="B8" s="744">
        <v>364.39902246985287</v>
      </c>
      <c r="C8" s="51">
        <v>1442.6338629237468</v>
      </c>
      <c r="D8" s="51">
        <v>647.61063114685487</v>
      </c>
      <c r="E8" s="51">
        <v>1046.8102560197701</v>
      </c>
      <c r="F8" s="51">
        <v>437.32801007669678</v>
      </c>
      <c r="G8" s="51">
        <v>320.98299652933827</v>
      </c>
      <c r="H8" s="51">
        <v>1699.8700479734891</v>
      </c>
      <c r="I8" s="745">
        <v>265.1530334656324</v>
      </c>
      <c r="J8" s="739">
        <f t="shared" si="0"/>
        <v>6224.7878606053819</v>
      </c>
      <c r="K8" s="739">
        <f>(J8-H8)*0.95+H8*end_use!$G$8</f>
        <v>4920.8243595585946</v>
      </c>
      <c r="L8" s="742">
        <v>672.95068582977797</v>
      </c>
      <c r="M8" s="743">
        <f t="shared" si="1"/>
        <v>4247.8736737288164</v>
      </c>
      <c r="P8" s="51">
        <v>6</v>
      </c>
      <c r="Q8" s="51">
        <v>672.95068582977797</v>
      </c>
    </row>
    <row r="9" spans="1:17">
      <c r="A9" s="51">
        <v>2027</v>
      </c>
      <c r="B9" s="744">
        <v>383.0857257712218</v>
      </c>
      <c r="C9" s="51">
        <v>1470.5124867010445</v>
      </c>
      <c r="D9" s="51">
        <v>667.99392351582912</v>
      </c>
      <c r="E9" s="51">
        <v>1069.5182425697433</v>
      </c>
      <c r="F9" s="51">
        <v>451.27938299418798</v>
      </c>
      <c r="G9" s="51">
        <v>330.72850815696205</v>
      </c>
      <c r="H9" s="51">
        <v>1699.8757844759916</v>
      </c>
      <c r="I9" s="745">
        <v>266.04480591939313</v>
      </c>
      <c r="J9" s="739">
        <f t="shared" si="0"/>
        <v>6339.0388601043742</v>
      </c>
      <c r="K9" s="739">
        <f>(J9-H9)*0.95+H9*end_use!$G$8</f>
        <v>5029.3594589651766</v>
      </c>
      <c r="L9" s="742">
        <v>704.66136437614705</v>
      </c>
      <c r="M9" s="743">
        <f t="shared" si="1"/>
        <v>4324.69809458903</v>
      </c>
      <c r="P9" s="51">
        <v>7</v>
      </c>
      <c r="Q9" s="51">
        <v>704.66136437614705</v>
      </c>
    </row>
    <row r="10" spans="1:17">
      <c r="A10" s="51">
        <v>2028</v>
      </c>
      <c r="B10" s="744">
        <v>402.19072609107968</v>
      </c>
      <c r="C10" s="51">
        <v>1501.9306276943262</v>
      </c>
      <c r="D10" s="51">
        <v>688.20529425465747</v>
      </c>
      <c r="E10" s="51">
        <v>1091.6007634257517</v>
      </c>
      <c r="F10" s="51">
        <v>464.92187356507003</v>
      </c>
      <c r="G10" s="51">
        <v>340.60805873346777</v>
      </c>
      <c r="H10" s="51">
        <v>1699.8815209784948</v>
      </c>
      <c r="I10" s="745">
        <v>267.06344991720533</v>
      </c>
      <c r="J10" s="739">
        <f t="shared" si="0"/>
        <v>6456.402314660053</v>
      </c>
      <c r="K10" s="739">
        <f>(J10-H10)*0.95+H10*end_use!$G$8</f>
        <v>5140.8513906756098</v>
      </c>
      <c r="L10" s="742">
        <v>749.63440975452795</v>
      </c>
      <c r="M10" s="743">
        <f t="shared" si="1"/>
        <v>4391.2169809210818</v>
      </c>
      <c r="P10" s="51">
        <v>8</v>
      </c>
      <c r="Q10" s="51">
        <v>749.63440975452795</v>
      </c>
    </row>
    <row r="11" spans="1:17">
      <c r="A11" s="51">
        <v>2029</v>
      </c>
      <c r="B11" s="744">
        <v>421.68839569755153</v>
      </c>
      <c r="C11" s="51">
        <v>1534.1536489309581</v>
      </c>
      <c r="D11" s="51">
        <v>708.17534401174714</v>
      </c>
      <c r="E11" s="51">
        <v>1113.4662202417453</v>
      </c>
      <c r="F11" s="51">
        <v>478.24302789148493</v>
      </c>
      <c r="G11" s="51">
        <v>350.6393413082331</v>
      </c>
      <c r="H11" s="51">
        <v>1699.8872574809973</v>
      </c>
      <c r="I11" s="745">
        <v>268.20077454243886</v>
      </c>
      <c r="J11" s="739">
        <f t="shared" si="0"/>
        <v>6574.4540101051571</v>
      </c>
      <c r="K11" s="739">
        <f>(J11-H11)*0.95+H11*end_use!$G$8</f>
        <v>5252.9971512309967</v>
      </c>
      <c r="L11" s="742">
        <v>811.37976248266398</v>
      </c>
      <c r="M11" s="743">
        <f t="shared" si="1"/>
        <v>4441.6173887483328</v>
      </c>
      <c r="P11" s="51">
        <v>9</v>
      </c>
      <c r="Q11" s="51">
        <v>811.37976248266398</v>
      </c>
    </row>
    <row r="12" spans="1:17">
      <c r="A12" s="51">
        <v>2030</v>
      </c>
      <c r="B12" s="744">
        <v>441.5512479448879</v>
      </c>
      <c r="C12" s="51">
        <v>1565.4913765820847</v>
      </c>
      <c r="D12" s="51">
        <v>727.83282530070392</v>
      </c>
      <c r="E12" s="51">
        <v>1135.5174142673916</v>
      </c>
      <c r="F12" s="51">
        <v>491.23564312946331</v>
      </c>
      <c r="G12" s="51">
        <v>360.83742242228038</v>
      </c>
      <c r="H12" s="51">
        <v>1699.8929939834998</v>
      </c>
      <c r="I12" s="745">
        <v>269.44112164498654</v>
      </c>
      <c r="J12" s="739">
        <f t="shared" si="0"/>
        <v>6691.8000452752976</v>
      </c>
      <c r="K12" s="739">
        <f>(J12-H12)*0.95+H12*end_use!$G$8</f>
        <v>5364.4725345251691</v>
      </c>
      <c r="L12" s="742">
        <v>893.37946996126004</v>
      </c>
      <c r="M12" s="743">
        <f t="shared" si="1"/>
        <v>4471.0930645639091</v>
      </c>
      <c r="P12" s="51">
        <v>10</v>
      </c>
      <c r="Q12" s="51">
        <v>893.37946996126004</v>
      </c>
    </row>
    <row r="13" spans="1:17">
      <c r="A13" s="51">
        <v>2031</v>
      </c>
      <c r="B13" s="744">
        <v>461.75005819151897</v>
      </c>
      <c r="C13" s="51">
        <v>1594.0840304297737</v>
      </c>
      <c r="D13" s="51">
        <v>747.10723584671871</v>
      </c>
      <c r="E13" s="51">
        <v>1158.1018985139569</v>
      </c>
      <c r="F13" s="51">
        <v>503.89768772254456</v>
      </c>
      <c r="G13" s="51">
        <v>371.21436075076758</v>
      </c>
      <c r="H13" s="51">
        <v>1699.8987304860032</v>
      </c>
      <c r="I13" s="745">
        <v>270.76285431959866</v>
      </c>
      <c r="J13" s="739">
        <f t="shared" si="0"/>
        <v>6806.8168562608817</v>
      </c>
      <c r="K13" s="739">
        <f>(J13-H13)*0.95+H13*end_use!$G$8</f>
        <v>5473.735154844012</v>
      </c>
      <c r="L13" s="742">
        <v>998.678867354418</v>
      </c>
      <c r="M13" s="743">
        <f t="shared" si="1"/>
        <v>4475.0562874895941</v>
      </c>
      <c r="P13" s="51">
        <v>11</v>
      </c>
      <c r="Q13" s="51">
        <v>998.678867354418</v>
      </c>
    </row>
    <row r="14" spans="1:17">
      <c r="A14" s="51">
        <v>2032</v>
      </c>
      <c r="B14" s="744">
        <v>482.25399894991182</v>
      </c>
      <c r="C14" s="51">
        <v>1619.5053664672062</v>
      </c>
      <c r="D14" s="51">
        <v>765.93131909694284</v>
      </c>
      <c r="E14" s="51">
        <v>1181.471745935115</v>
      </c>
      <c r="F14" s="51">
        <v>516.23213717876536</v>
      </c>
      <c r="G14" s="51">
        <v>381.77894995788358</v>
      </c>
      <c r="H14" s="51">
        <v>1699.9044669885056</v>
      </c>
      <c r="I14" s="745">
        <v>272.13989612291437</v>
      </c>
      <c r="J14" s="739">
        <f t="shared" si="0"/>
        <v>6919.2178806972452</v>
      </c>
      <c r="K14" s="739">
        <f>(J14-H14)*0.95+H14*end_use!$G$8</f>
        <v>5580.5127779410959</v>
      </c>
      <c r="L14" s="742">
        <v>1129.4320942329</v>
      </c>
      <c r="M14" s="743">
        <f t="shared" si="1"/>
        <v>4451.0806837081964</v>
      </c>
      <c r="P14" s="51">
        <v>12</v>
      </c>
      <c r="Q14" s="51">
        <v>1129.4320942329</v>
      </c>
    </row>
    <row r="15" spans="1:17">
      <c r="A15" s="51">
        <v>2033</v>
      </c>
      <c r="B15" s="744">
        <v>503.03078814840796</v>
      </c>
      <c r="C15" s="51">
        <v>1640.8395948845953</v>
      </c>
      <c r="D15" s="51">
        <v>784.24331002376061</v>
      </c>
      <c r="E15" s="51">
        <v>1205.7585165931353</v>
      </c>
      <c r="F15" s="51">
        <v>528.24673179562251</v>
      </c>
      <c r="G15" s="51">
        <v>392.536587295488</v>
      </c>
      <c r="H15" s="51">
        <v>1699.9102034910088</v>
      </c>
      <c r="I15" s="745">
        <v>273.54325905289966</v>
      </c>
      <c r="J15" s="739">
        <f t="shared" si="0"/>
        <v>7028.1089912849184</v>
      </c>
      <c r="K15" s="739">
        <f>(J15-H15)*0.95+H15*end_use!$G$8</f>
        <v>5683.9559828819238</v>
      </c>
      <c r="L15" s="742">
        <v>1286.48115233404</v>
      </c>
      <c r="M15" s="743">
        <f t="shared" si="1"/>
        <v>4397.4748305478843</v>
      </c>
      <c r="P15" s="51">
        <v>13</v>
      </c>
      <c r="Q15" s="51">
        <v>1286.48115233404</v>
      </c>
    </row>
    <row r="16" spans="1:17">
      <c r="A16" s="51">
        <v>2034</v>
      </c>
      <c r="B16" s="744">
        <v>524.04684922429408</v>
      </c>
      <c r="C16" s="51">
        <v>1659.2273705116404</v>
      </c>
      <c r="D16" s="51">
        <v>801.9887878654273</v>
      </c>
      <c r="E16" s="51">
        <v>1230.966458674181</v>
      </c>
      <c r="F16" s="51">
        <v>539.95366430709942</v>
      </c>
      <c r="G16" s="51">
        <v>403.48926426935606</v>
      </c>
      <c r="H16" s="51">
        <v>1699.9159399935115</v>
      </c>
      <c r="I16" s="745">
        <v>274.9425044049807</v>
      </c>
      <c r="J16" s="739">
        <f t="shared" si="0"/>
        <v>7134.5308392504903</v>
      </c>
      <c r="K16" s="739">
        <f>(J16-H16)*0.95+H16*end_use!$G$8</f>
        <v>5785.0533883317548</v>
      </c>
      <c r="L16" s="742">
        <v>1469.0580324335899</v>
      </c>
      <c r="M16" s="743">
        <f t="shared" si="1"/>
        <v>4315.9953558981651</v>
      </c>
      <c r="P16" s="51">
        <v>14</v>
      </c>
      <c r="Q16" s="51">
        <v>1469.0580324335899</v>
      </c>
    </row>
    <row r="17" spans="1:17">
      <c r="A17" s="51">
        <v>2035</v>
      </c>
      <c r="B17" s="744">
        <v>545.26748161921273</v>
      </c>
      <c r="C17" s="51">
        <v>1675.0545153520541</v>
      </c>
      <c r="D17" s="51">
        <v>819.12203278249854</v>
      </c>
      <c r="E17" s="51">
        <v>1256.9837046753389</v>
      </c>
      <c r="F17" s="51">
        <v>551.36920671564485</v>
      </c>
      <c r="G17" s="51">
        <v>414.63567096887613</v>
      </c>
      <c r="H17" s="51">
        <v>1699.9216764960138</v>
      </c>
      <c r="I17" s="745">
        <v>276.30708789648884</v>
      </c>
      <c r="J17" s="739">
        <f t="shared" si="0"/>
        <v>7238.6613765061275</v>
      </c>
      <c r="K17" s="739">
        <f>(J17-H17)*0.95+H17*end_use!$G$8</f>
        <v>5883.9740486071487</v>
      </c>
      <c r="L17" s="742">
        <v>1674.6868957312799</v>
      </c>
      <c r="M17" s="743">
        <f t="shared" si="1"/>
        <v>4209.2871528758687</v>
      </c>
      <c r="P17" s="51">
        <v>15</v>
      </c>
      <c r="Q17" s="51">
        <v>1674.6868957312799</v>
      </c>
    </row>
    <row r="18" spans="1:17">
      <c r="A18" s="51">
        <v>2036</v>
      </c>
      <c r="B18" s="744">
        <v>566.65704011930211</v>
      </c>
      <c r="C18" s="51">
        <v>1689.0682934433739</v>
      </c>
      <c r="D18" s="51">
        <v>835.60682782082426</v>
      </c>
      <c r="E18" s="51">
        <v>1283.6081539813229</v>
      </c>
      <c r="F18" s="51">
        <v>562.51328655042335</v>
      </c>
      <c r="G18" s="51">
        <v>425.97140161198598</v>
      </c>
      <c r="H18" s="51">
        <v>1699.9274129985172</v>
      </c>
      <c r="I18" s="745">
        <v>277.60754887018118</v>
      </c>
      <c r="J18" s="739">
        <f t="shared" si="0"/>
        <v>7340.9599653959312</v>
      </c>
      <c r="K18" s="739">
        <f>(J18-H18)*0.95+H18*end_use!$G$8</f>
        <v>5981.154357935</v>
      </c>
      <c r="L18" s="742">
        <v>1899.3276819033599</v>
      </c>
      <c r="M18" s="743">
        <f t="shared" si="1"/>
        <v>4081.8266760316401</v>
      </c>
      <c r="P18" s="51">
        <v>16</v>
      </c>
      <c r="Q18" s="51">
        <v>1899.3276819033599</v>
      </c>
    </row>
    <row r="19" spans="1:17">
      <c r="A19" s="51">
        <v>2037</v>
      </c>
      <c r="B19" s="744">
        <v>588.17912137422354</v>
      </c>
      <c r="C19" s="51">
        <v>1702.6892679574362</v>
      </c>
      <c r="D19" s="51">
        <v>851.41669725381087</v>
      </c>
      <c r="E19" s="51">
        <v>1310.5825203360278</v>
      </c>
      <c r="F19" s="51">
        <v>573.40902345047482</v>
      </c>
      <c r="G19" s="51">
        <v>437.48924566019065</v>
      </c>
      <c r="H19" s="51">
        <v>1699.9331495010197</v>
      </c>
      <c r="I19" s="745">
        <v>278.8165128547717</v>
      </c>
      <c r="J19" s="739">
        <f t="shared" si="0"/>
        <v>7442.5155383879555</v>
      </c>
      <c r="K19" s="739">
        <f>(J19-H19)*0.95+H19*end_use!$G$8</f>
        <v>6077.6288021599621</v>
      </c>
      <c r="L19" s="742">
        <v>2137.7517844163599</v>
      </c>
      <c r="M19" s="743">
        <f t="shared" si="1"/>
        <v>3939.8770177436022</v>
      </c>
      <c r="P19" s="51">
        <v>17</v>
      </c>
      <c r="Q19" s="51">
        <v>2137.7517844163599</v>
      </c>
    </row>
    <row r="20" spans="1:17">
      <c r="A20" s="51">
        <v>2038</v>
      </c>
      <c r="B20" s="744">
        <v>609.7967558410719</v>
      </c>
      <c r="C20" s="51">
        <v>1716.4794803928012</v>
      </c>
      <c r="D20" s="51">
        <v>866.53462276252253</v>
      </c>
      <c r="E20" s="51">
        <v>1337.6320758836098</v>
      </c>
      <c r="F20" s="51">
        <v>584.08223730182169</v>
      </c>
      <c r="G20" s="51">
        <v>449.17954661352076</v>
      </c>
      <c r="H20" s="51">
        <v>1699.9388860035222</v>
      </c>
      <c r="I20" s="745">
        <v>279.9094870775927</v>
      </c>
      <c r="J20" s="739">
        <f t="shared" si="0"/>
        <v>7543.5530918764634</v>
      </c>
      <c r="K20" s="739">
        <f>(J20-H20)*0.95+H20*end_use!$G$8</f>
        <v>6173.6111278565832</v>
      </c>
      <c r="L20" s="742">
        <v>2384.0887141921098</v>
      </c>
      <c r="M20" s="743">
        <f t="shared" si="1"/>
        <v>3789.5224136644733</v>
      </c>
      <c r="P20" s="51">
        <v>18</v>
      </c>
      <c r="Q20" s="51">
        <v>2384.0887141921098</v>
      </c>
    </row>
    <row r="21" spans="1:17">
      <c r="A21" s="51">
        <v>2039</v>
      </c>
      <c r="B21" s="744">
        <v>631.47260333591191</v>
      </c>
      <c r="C21" s="51">
        <v>1731.0235856444519</v>
      </c>
      <c r="D21" s="51">
        <v>880.95232511073789</v>
      </c>
      <c r="E21" s="51">
        <v>1364.4990166080988</v>
      </c>
      <c r="F21" s="51">
        <v>594.56093917289149</v>
      </c>
      <c r="G21" s="51">
        <v>461.03060935433649</v>
      </c>
      <c r="H21" s="51">
        <v>1699.9446225060256</v>
      </c>
      <c r="I21" s="745">
        <v>280.86543935221141</v>
      </c>
      <c r="J21" s="739">
        <f t="shared" si="0"/>
        <v>7644.3491410846655</v>
      </c>
      <c r="K21" s="739">
        <f>(J21-H21)*0.95+H21*end_use!$G$8</f>
        <v>6269.364024486913</v>
      </c>
      <c r="L21" s="742">
        <v>2632.4454219007398</v>
      </c>
      <c r="M21" s="743">
        <f t="shared" si="1"/>
        <v>3636.9186025861732</v>
      </c>
      <c r="P21" s="51">
        <v>19</v>
      </c>
      <c r="Q21" s="51">
        <v>2632.4454219007398</v>
      </c>
    </row>
    <row r="22" spans="1:17">
      <c r="A22" s="51">
        <v>2040</v>
      </c>
      <c r="B22" s="744">
        <v>653.16915033527857</v>
      </c>
      <c r="C22" s="51">
        <v>1747.5757100849366</v>
      </c>
      <c r="D22" s="51">
        <v>894.66923628289203</v>
      </c>
      <c r="E22" s="51">
        <v>1390.9688602099104</v>
      </c>
      <c r="F22" s="51">
        <v>604.87481600846695</v>
      </c>
      <c r="G22" s="51">
        <v>473.02913666336428</v>
      </c>
      <c r="H22" s="51">
        <v>1699.950359008528</v>
      </c>
      <c r="I22" s="745">
        <v>281.66716162686868</v>
      </c>
      <c r="J22" s="739">
        <f t="shared" si="0"/>
        <v>7745.9044302202456</v>
      </c>
      <c r="K22" s="739">
        <f>(J22-H22)*0.95+H22*end_use!$G$8</f>
        <v>6365.838199048253</v>
      </c>
      <c r="L22" s="742">
        <v>2877.4881788778198</v>
      </c>
      <c r="M22" s="743">
        <f t="shared" si="1"/>
        <v>3488.3500201704333</v>
      </c>
      <c r="P22" s="51">
        <v>20</v>
      </c>
      <c r="Q22" s="51">
        <v>2877.4881788778198</v>
      </c>
    </row>
    <row r="23" spans="1:17">
      <c r="A23" s="51">
        <v>2041</v>
      </c>
      <c r="B23" s="744">
        <v>674.84890715684128</v>
      </c>
      <c r="C23" s="51">
        <v>1765.3413558273962</v>
      </c>
      <c r="D23" s="51">
        <v>907.6913114917744</v>
      </c>
      <c r="E23" s="51">
        <v>1416.8863997841167</v>
      </c>
      <c r="F23" s="51">
        <v>615.054719490406</v>
      </c>
      <c r="G23" s="51">
        <v>485.16067621945712</v>
      </c>
      <c r="H23" s="51">
        <v>1699.9560955110303</v>
      </c>
      <c r="I23" s="745">
        <v>282.30142979638021</v>
      </c>
      <c r="J23" s="739">
        <f t="shared" si="0"/>
        <v>7847.2408952774013</v>
      </c>
      <c r="K23" s="739">
        <f>(J23-H23)*0.95+H23*end_use!$G$8</f>
        <v>6462.1044907350888</v>
      </c>
      <c r="L23" s="742">
        <v>3114.8930669787201</v>
      </c>
      <c r="M23" s="743">
        <f t="shared" si="1"/>
        <v>3347.2114237563687</v>
      </c>
      <c r="P23" s="51">
        <v>21</v>
      </c>
      <c r="Q23" s="51">
        <v>3114.8930669787201</v>
      </c>
    </row>
    <row r="24" spans="1:17">
      <c r="A24" s="51">
        <v>2042</v>
      </c>
      <c r="B24" s="744">
        <v>696.47460315662761</v>
      </c>
      <c r="C24" s="51">
        <v>1785.7280154314974</v>
      </c>
      <c r="D24" s="51">
        <v>920.02983925487831</v>
      </c>
      <c r="E24" s="51">
        <v>1442.1609360648586</v>
      </c>
      <c r="F24" s="51">
        <v>625.1321686842366</v>
      </c>
      <c r="G24" s="51">
        <v>497.41006090583761</v>
      </c>
      <c r="H24" s="51">
        <v>1699.9618320135339</v>
      </c>
      <c r="I24" s="745">
        <v>282.75898052174244</v>
      </c>
      <c r="J24" s="739">
        <f t="shared" si="0"/>
        <v>7949.6564360332122</v>
      </c>
      <c r="K24" s="739">
        <f>(J24-H24)*0.95+H24*end_use!$G$8</f>
        <v>6559.3959043356481</v>
      </c>
      <c r="L24" s="742">
        <v>3341.6084484988401</v>
      </c>
      <c r="M24" s="743">
        <f t="shared" si="1"/>
        <v>3217.787455836808</v>
      </c>
      <c r="P24" s="51">
        <v>22</v>
      </c>
      <c r="Q24" s="51">
        <v>3341.6084484988401</v>
      </c>
    </row>
    <row r="25" spans="1:17">
      <c r="A25" s="51">
        <v>2043</v>
      </c>
      <c r="B25" s="744">
        <v>718.00937811869971</v>
      </c>
      <c r="C25" s="51">
        <v>1807.8053381502225</v>
      </c>
      <c r="D25" s="51">
        <v>931.70039968934464</v>
      </c>
      <c r="E25" s="51">
        <v>1466.7623312716732</v>
      </c>
      <c r="F25" s="51">
        <v>635.13887510922143</v>
      </c>
      <c r="G25" s="51">
        <v>509.76182742867763</v>
      </c>
      <c r="H25" s="51">
        <v>1699.9675685160362</v>
      </c>
      <c r="I25" s="745">
        <v>283.03433317105589</v>
      </c>
      <c r="J25" s="739">
        <f t="shared" si="0"/>
        <v>8052.1800514549313</v>
      </c>
      <c r="K25" s="739">
        <f>(J25-H25)*0.95+H25*end_use!$G$8</f>
        <v>6656.7899888688189</v>
      </c>
      <c r="L25" s="742">
        <v>3555.9184154231102</v>
      </c>
      <c r="M25" s="743">
        <f t="shared" si="1"/>
        <v>3100.8715734457087</v>
      </c>
      <c r="P25" s="51">
        <v>23</v>
      </c>
      <c r="Q25" s="51">
        <v>3555.9184154231102</v>
      </c>
    </row>
    <row r="26" spans="1:17">
      <c r="A26" s="51">
        <v>2044</v>
      </c>
      <c r="B26" s="744">
        <v>739.41696806846642</v>
      </c>
      <c r="C26" s="51">
        <v>1831.9665295184384</v>
      </c>
      <c r="D26" s="51">
        <v>942.7220968822154</v>
      </c>
      <c r="E26" s="51">
        <v>1490.7105762455508</v>
      </c>
      <c r="F26" s="51">
        <v>645.1062977360757</v>
      </c>
      <c r="G26" s="51">
        <v>522.2006009323577</v>
      </c>
      <c r="H26" s="51">
        <v>1699.9733050185387</v>
      </c>
      <c r="I26" s="745">
        <v>283.12549009957456</v>
      </c>
      <c r="J26" s="739">
        <f t="shared" si="0"/>
        <v>8155.2218645012172</v>
      </c>
      <c r="K26" s="739">
        <f>(J26-H26)*0.95+H26*end_use!$G$8</f>
        <v>6754.6763611453298</v>
      </c>
      <c r="L26" s="742">
        <v>3757.3363917930801</v>
      </c>
      <c r="M26" s="743">
        <f t="shared" si="1"/>
        <v>2997.3399693522497</v>
      </c>
      <c r="P26" s="51">
        <v>24</v>
      </c>
      <c r="Q26" s="51">
        <v>3757.3363917930801</v>
      </c>
    </row>
    <row r="27" spans="1:17">
      <c r="A27" s="51">
        <v>2045</v>
      </c>
      <c r="B27" s="744">
        <v>760.66188382879272</v>
      </c>
      <c r="C27" s="51">
        <v>1858.4156140624382</v>
      </c>
      <c r="D27" s="51">
        <v>953.11715305313942</v>
      </c>
      <c r="E27" s="51">
        <v>1514.0619570316583</v>
      </c>
      <c r="F27" s="51">
        <v>655.0652341777303</v>
      </c>
      <c r="G27" s="51">
        <v>534.71143627354581</v>
      </c>
      <c r="H27" s="51">
        <v>1699.9790415210418</v>
      </c>
      <c r="I27" s="745">
        <v>283.03355101438751</v>
      </c>
      <c r="J27" s="739">
        <f t="shared" si="0"/>
        <v>8259.0458709627346</v>
      </c>
      <c r="K27" s="739">
        <f>(J27-H27)*0.95+H27*end_use!$G$8</f>
        <v>6853.3058171663097</v>
      </c>
      <c r="L27" s="742">
        <v>3946.3830509599902</v>
      </c>
      <c r="M27" s="743">
        <f t="shared" si="1"/>
        <v>2906.9227662063195</v>
      </c>
      <c r="P27" s="51">
        <v>25</v>
      </c>
      <c r="Q27" s="51">
        <v>3946.3830509599902</v>
      </c>
    </row>
    <row r="28" spans="1:17">
      <c r="A28" s="51">
        <v>2046</v>
      </c>
      <c r="B28" s="744">
        <v>781.70958073840688</v>
      </c>
      <c r="C28" s="51">
        <v>1885.6875767602191</v>
      </c>
      <c r="D28" s="51">
        <v>962.91090422575473</v>
      </c>
      <c r="E28" s="51">
        <v>1536.894648970024</v>
      </c>
      <c r="F28" s="51">
        <v>665.04545304125077</v>
      </c>
      <c r="G28" s="51">
        <v>547.28010969827619</v>
      </c>
      <c r="H28" s="51">
        <v>1699.9847780235445</v>
      </c>
      <c r="I28" s="745">
        <v>282.76227703086198</v>
      </c>
      <c r="J28" s="739">
        <f t="shared" si="0"/>
        <v>8362.2753284883402</v>
      </c>
      <c r="K28" s="739">
        <f>(J28-H28)*0.95+H28*end_use!$G$8</f>
        <v>6951.3704516981725</v>
      </c>
      <c r="L28" s="742">
        <v>4124.3094175758097</v>
      </c>
      <c r="M28" s="743">
        <f t="shared" si="1"/>
        <v>2827.0610341223628</v>
      </c>
      <c r="P28" s="51">
        <v>26</v>
      </c>
      <c r="Q28" s="51">
        <v>4124.3094175758097</v>
      </c>
    </row>
    <row r="29" spans="1:17">
      <c r="A29" s="51">
        <v>2047</v>
      </c>
      <c r="B29" s="744">
        <v>802.52661807879053</v>
      </c>
      <c r="C29" s="51">
        <v>1914.2097122638975</v>
      </c>
      <c r="D29" s="51">
        <v>972.13218443120456</v>
      </c>
      <c r="E29" s="51">
        <v>1559.295874232412</v>
      </c>
      <c r="F29" s="51">
        <v>675.07537109182647</v>
      </c>
      <c r="G29" s="51">
        <v>559.89335766644183</v>
      </c>
      <c r="H29" s="51">
        <v>1699.990514526047</v>
      </c>
      <c r="I29" s="745">
        <v>282.31763738202892</v>
      </c>
      <c r="J29" s="739">
        <f t="shared" si="0"/>
        <v>8465.4412696726504</v>
      </c>
      <c r="K29" s="739">
        <f>(J29-H29)*0.95+H29*end_use!$G$8</f>
        <v>7049.3747457058053</v>
      </c>
      <c r="L29" s="742">
        <v>4292.81760656811</v>
      </c>
      <c r="M29" s="743">
        <f t="shared" si="1"/>
        <v>2756.5571391376952</v>
      </c>
      <c r="P29" s="51">
        <v>27</v>
      </c>
      <c r="Q29" s="51">
        <v>4292.81760656811</v>
      </c>
    </row>
    <row r="30" spans="1:17">
      <c r="A30" s="51">
        <v>2048</v>
      </c>
      <c r="B30" s="744">
        <v>823.08080689718133</v>
      </c>
      <c r="C30" s="51">
        <v>1943.7603669655682</v>
      </c>
      <c r="D30" s="51">
        <v>980.81403386839156</v>
      </c>
      <c r="E30" s="51">
        <v>1581.3518872649502</v>
      </c>
      <c r="F30" s="51">
        <v>685.18177758871821</v>
      </c>
      <c r="G30" s="51">
        <v>572.5390623206622</v>
      </c>
      <c r="H30" s="51">
        <v>1699.9962510285502</v>
      </c>
      <c r="I30" s="745">
        <v>281.7073669783706</v>
      </c>
      <c r="J30" s="739">
        <f t="shared" si="0"/>
        <v>8568.4315529123942</v>
      </c>
      <c r="K30" s="739">
        <f>(J30-H30)*0.95+H30*end_use!$G$8</f>
        <v>7147.2121646660999</v>
      </c>
      <c r="L30" s="742">
        <v>4453.8148790927498</v>
      </c>
      <c r="M30" s="743">
        <f t="shared" si="1"/>
        <v>2693.39728557335</v>
      </c>
      <c r="P30" s="51">
        <v>28</v>
      </c>
      <c r="Q30" s="51">
        <v>4453.8148790927498</v>
      </c>
    </row>
    <row r="31" spans="1:17">
      <c r="A31" s="51">
        <v>2049</v>
      </c>
      <c r="B31" s="744">
        <v>843.34134507191357</v>
      </c>
      <c r="C31" s="51">
        <v>1973.9909690430929</v>
      </c>
      <c r="D31" s="51">
        <v>988.99462168741434</v>
      </c>
      <c r="E31" s="51">
        <v>1603.1412234913573</v>
      </c>
      <c r="F31" s="51">
        <v>695.38960691634588</v>
      </c>
      <c r="G31" s="51">
        <v>585.20638547065607</v>
      </c>
      <c r="H31" s="51">
        <v>1700.0019875310527</v>
      </c>
      <c r="I31" s="745">
        <v>280.94055671197407</v>
      </c>
      <c r="J31" s="739">
        <f t="shared" si="0"/>
        <v>8671.0066959238047</v>
      </c>
      <c r="K31" s="739">
        <f>(J31-H31)*0.95+H31*end_use!$G$8</f>
        <v>7244.6552004094792</v>
      </c>
      <c r="L31" s="742">
        <v>4609.2186705797303</v>
      </c>
      <c r="M31" s="743">
        <f t="shared" si="1"/>
        <v>2635.4365298297489</v>
      </c>
      <c r="P31" s="51">
        <v>29</v>
      </c>
      <c r="Q31" s="51">
        <v>4609.2186705797303</v>
      </c>
    </row>
    <row r="32" spans="1:17" ht="16.2" thickBot="1">
      <c r="A32" s="51">
        <v>2050</v>
      </c>
      <c r="B32" s="746">
        <v>863.27893863512554</v>
      </c>
      <c r="C32" s="588">
        <v>2005.0246310781267</v>
      </c>
      <c r="D32" s="588">
        <v>996.7182411876305</v>
      </c>
      <c r="E32" s="588">
        <v>1624.7310067721512</v>
      </c>
      <c r="F32" s="588">
        <v>705.72175948755194</v>
      </c>
      <c r="G32" s="588">
        <v>597.88585486208547</v>
      </c>
      <c r="H32" s="588">
        <v>1700.0077240335552</v>
      </c>
      <c r="I32" s="747">
        <v>280.02729125834361</v>
      </c>
      <c r="J32" s="739">
        <f t="shared" si="0"/>
        <v>8773.3954473145714</v>
      </c>
      <c r="K32" s="739">
        <f>(J32-H32)*0.95+H32*end_use!$G$8</f>
        <v>7341.921164113246</v>
      </c>
      <c r="L32" s="742">
        <v>4760.81594597607</v>
      </c>
      <c r="M32" s="743">
        <f t="shared" si="1"/>
        <v>2581.1052181371761</v>
      </c>
      <c r="P32" s="51">
        <v>30</v>
      </c>
      <c r="Q32" s="51">
        <v>4760.81594597607</v>
      </c>
    </row>
    <row r="36" spans="1:32">
      <c r="A36" s="51" t="s">
        <v>602</v>
      </c>
    </row>
    <row r="37" spans="1:32">
      <c r="A37" s="765" t="s">
        <v>63</v>
      </c>
      <c r="B37" s="742">
        <v>2020</v>
      </c>
      <c r="C37" s="742">
        <v>2021</v>
      </c>
      <c r="D37" s="742">
        <v>2022</v>
      </c>
      <c r="E37" s="742">
        <v>2023</v>
      </c>
      <c r="F37" s="742">
        <v>2024</v>
      </c>
      <c r="G37" s="742">
        <v>2025</v>
      </c>
      <c r="H37" s="742">
        <v>2026</v>
      </c>
      <c r="I37" s="742">
        <v>2027</v>
      </c>
      <c r="J37" s="742">
        <v>2028</v>
      </c>
      <c r="K37" s="742">
        <v>2029</v>
      </c>
      <c r="L37" s="742">
        <v>2030</v>
      </c>
      <c r="M37" s="742">
        <v>2031</v>
      </c>
      <c r="N37" s="742">
        <v>2032</v>
      </c>
      <c r="O37" s="742">
        <v>2033</v>
      </c>
      <c r="P37" s="742">
        <v>2034</v>
      </c>
      <c r="Q37" s="742">
        <v>2035</v>
      </c>
      <c r="R37" s="742">
        <v>2036</v>
      </c>
      <c r="S37" s="742">
        <v>2037</v>
      </c>
      <c r="T37" s="742">
        <v>2038</v>
      </c>
      <c r="U37" s="742">
        <v>2039</v>
      </c>
      <c r="V37" s="742">
        <v>2040</v>
      </c>
      <c r="W37" s="742">
        <v>2041</v>
      </c>
      <c r="X37" s="742">
        <v>2042</v>
      </c>
      <c r="Y37" s="742">
        <v>2043</v>
      </c>
      <c r="Z37" s="742">
        <v>2044</v>
      </c>
      <c r="AA37" s="742">
        <v>2045</v>
      </c>
      <c r="AB37" s="742">
        <v>2046</v>
      </c>
      <c r="AC37" s="742">
        <v>2047</v>
      </c>
      <c r="AD37" s="742">
        <v>2048</v>
      </c>
      <c r="AE37" s="742">
        <v>2049</v>
      </c>
      <c r="AF37" s="742">
        <v>2050</v>
      </c>
    </row>
    <row r="38" spans="1:32">
      <c r="A38" s="742" t="s">
        <v>13</v>
      </c>
      <c r="B38" s="742">
        <v>0</v>
      </c>
      <c r="C38" s="742">
        <v>1.91841678464579</v>
      </c>
      <c r="D38" s="742">
        <v>2.2003055942098699</v>
      </c>
      <c r="E38" s="742">
        <v>2.5206944950706198</v>
      </c>
      <c r="F38" s="742">
        <v>2.88414974751081</v>
      </c>
      <c r="G38" s="742">
        <v>3.29567653614561</v>
      </c>
      <c r="H38" s="742">
        <v>3.7607469954641899</v>
      </c>
      <c r="I38" s="742">
        <v>4.2853281413618696</v>
      </c>
      <c r="J38" s="742">
        <v>4.8759094101627198</v>
      </c>
      <c r="K38" s="742">
        <v>5.5395294720416102</v>
      </c>
      <c r="L38" s="742">
        <v>6.28380195136456</v>
      </c>
      <c r="M38" s="742">
        <v>7.11693965285638</v>
      </c>
      <c r="N38" s="742">
        <v>8.0477768603172901</v>
      </c>
      <c r="O38" s="742">
        <v>9.0857892445413899</v>
      </c>
      <c r="P38" s="742">
        <v>10.2411108898823</v>
      </c>
      <c r="Q38" s="742">
        <v>11.5245479253515</v>
      </c>
      <c r="R38" s="742">
        <v>12.9475882270265</v>
      </c>
      <c r="S38" s="742">
        <v>14.522406644728401</v>
      </c>
      <c r="T38" s="742">
        <v>16.261865198208401</v>
      </c>
      <c r="U38" s="742">
        <v>18.179507687292102</v>
      </c>
      <c r="V38" s="742">
        <v>20.289548167326402</v>
      </c>
      <c r="W38" s="742">
        <v>22.6068527565909</v>
      </c>
      <c r="X38" s="742">
        <v>25.146914266719101</v>
      </c>
      <c r="Y38" s="742">
        <v>27.9258191811738</v>
      </c>
      <c r="Z38" s="742">
        <v>30.960206550890199</v>
      </c>
      <c r="AA38" s="742">
        <v>34.267218430623302</v>
      </c>
      <c r="AB38" s="742">
        <v>37.864441544482197</v>
      </c>
      <c r="AC38" s="742">
        <v>41.7698399445663</v>
      </c>
      <c r="AD38" s="742">
        <v>46.001678512329804</v>
      </c>
      <c r="AE38" s="742">
        <v>50.578437247873403</v>
      </c>
      <c r="AF38" s="742">
        <v>55.518716397173698</v>
      </c>
    </row>
    <row r="39" spans="1:32">
      <c r="A39" s="742" t="s">
        <v>14</v>
      </c>
      <c r="B39" s="742">
        <v>0</v>
      </c>
      <c r="C39" s="742">
        <v>2.2619085963558101</v>
      </c>
      <c r="D39" s="742">
        <v>4.3218798794061302</v>
      </c>
      <c r="E39" s="742">
        <v>7.9274171212909001</v>
      </c>
      <c r="F39" s="742">
        <v>13.9927037569341</v>
      </c>
      <c r="G39" s="742">
        <v>23.799353720729801</v>
      </c>
      <c r="H39" s="742">
        <v>39.0397773390292</v>
      </c>
      <c r="I39" s="742">
        <v>61.806682758371402</v>
      </c>
      <c r="J39" s="742">
        <v>94.500909105422906</v>
      </c>
      <c r="K39" s="742">
        <v>139.63819828112699</v>
      </c>
      <c r="L39" s="742">
        <v>199.554463058219</v>
      </c>
      <c r="M39" s="742">
        <v>276.03660528632901</v>
      </c>
      <c r="N39" s="742">
        <v>369.93563462822101</v>
      </c>
      <c r="O39" s="742">
        <v>480.84106386705702</v>
      </c>
      <c r="P39" s="742">
        <v>606.90032726810102</v>
      </c>
      <c r="Q39" s="742">
        <v>744.84814762877602</v>
      </c>
      <c r="R39" s="742">
        <v>890.269633922715</v>
      </c>
      <c r="S39" s="742">
        <v>1038.0671343384399</v>
      </c>
      <c r="T39" s="742">
        <v>1183.05013620256</v>
      </c>
      <c r="U39" s="742">
        <v>1320.53591175565</v>
      </c>
      <c r="V39" s="742">
        <v>1446.84656302845</v>
      </c>
      <c r="W39" s="742">
        <v>1559.61615838329</v>
      </c>
      <c r="X39" s="742">
        <v>1657.8702683453901</v>
      </c>
      <c r="Y39" s="742">
        <v>1741.8937120549199</v>
      </c>
      <c r="Z39" s="742">
        <v>1812.9449401361601</v>
      </c>
      <c r="AA39" s="742">
        <v>1872.89689049608</v>
      </c>
      <c r="AB39" s="742">
        <v>1923.88227611449</v>
      </c>
      <c r="AC39" s="742">
        <v>1968.00149219328</v>
      </c>
      <c r="AD39" s="742">
        <v>2007.1231861999299</v>
      </c>
      <c r="AE39" s="742">
        <v>2042.78057743316</v>
      </c>
      <c r="AF39" s="742">
        <v>2076.1473649264299</v>
      </c>
    </row>
    <row r="40" spans="1:32">
      <c r="A40" s="742" t="s">
        <v>15</v>
      </c>
      <c r="B40" s="742">
        <v>0</v>
      </c>
      <c r="C40" s="742">
        <v>0.30052846550519202</v>
      </c>
      <c r="D40" s="742">
        <v>0.43703319925114398</v>
      </c>
      <c r="E40" s="742">
        <v>0.62711286448953096</v>
      </c>
      <c r="F40" s="742">
        <v>0.88918100248743703</v>
      </c>
      <c r="G40" s="742">
        <v>1.2469359054837099</v>
      </c>
      <c r="H40" s="742">
        <v>1.7304979083735601</v>
      </c>
      <c r="I40" s="742">
        <v>2.37766521322229</v>
      </c>
      <c r="J40" s="742">
        <v>3.2352591053542601</v>
      </c>
      <c r="K40" s="742">
        <v>4.36051337861573</v>
      </c>
      <c r="L40" s="742">
        <v>5.8224449211487501</v>
      </c>
      <c r="M40" s="742">
        <v>7.7031237325391499</v>
      </c>
      <c r="N40" s="742">
        <v>10.0987425690777</v>
      </c>
      <c r="O40" s="742">
        <v>13.1203707465879</v>
      </c>
      <c r="P40" s="742">
        <v>16.894265464459501</v>
      </c>
      <c r="Q40" s="742">
        <v>21.561609591601599</v>
      </c>
      <c r="R40" s="742">
        <v>27.277549355941701</v>
      </c>
      <c r="S40" s="742">
        <v>34.209420668048402</v>
      </c>
      <c r="T40" s="742">
        <v>42.534080149329597</v>
      </c>
      <c r="U40" s="742">
        <v>52.434296704956601</v>
      </c>
      <c r="V40" s="742">
        <v>64.094210932837697</v>
      </c>
      <c r="W40" s="742">
        <v>77.693930753556302</v>
      </c>
      <c r="X40" s="742">
        <v>93.403399007536606</v>
      </c>
      <c r="Y40" s="742">
        <v>111.37573778788899</v>
      </c>
      <c r="Z40" s="742">
        <v>131.740339388564</v>
      </c>
      <c r="AA40" s="742">
        <v>154.59602883733601</v>
      </c>
      <c r="AB40" s="742">
        <v>180.00466196214501</v>
      </c>
      <c r="AC40" s="742">
        <v>207.98554037989501</v>
      </c>
      <c r="AD40" s="742">
        <v>238.5110165895</v>
      </c>
      <c r="AE40" s="742">
        <v>271.50362629433403</v>
      </c>
      <c r="AF40" s="742">
        <v>306.835021322535</v>
      </c>
    </row>
    <row r="41" spans="1:32">
      <c r="A41" s="742" t="s">
        <v>16</v>
      </c>
      <c r="B41" s="742">
        <v>0</v>
      </c>
      <c r="C41" s="742">
        <v>1.09842153901562</v>
      </c>
      <c r="D41" s="742">
        <v>1.9394936865446399</v>
      </c>
      <c r="E41" s="742">
        <v>3.3262867926372901</v>
      </c>
      <c r="F41" s="742">
        <v>5.5506454326762196</v>
      </c>
      <c r="G41" s="742">
        <v>9.0213662470540807</v>
      </c>
      <c r="H41" s="742">
        <v>14.289594123824401</v>
      </c>
      <c r="I41" s="742">
        <v>22.069050095748501</v>
      </c>
      <c r="J41" s="742">
        <v>33.2450242018773</v>
      </c>
      <c r="K41" s="742">
        <v>48.865240241658697</v>
      </c>
      <c r="L41" s="742">
        <v>70.106050117810597</v>
      </c>
      <c r="M41" s="742">
        <v>98.209394773080803</v>
      </c>
      <c r="N41" s="742">
        <v>134.389758567103</v>
      </c>
      <c r="O41" s="742">
        <v>179.715686309728</v>
      </c>
      <c r="P41" s="742">
        <v>234.97654143710099</v>
      </c>
      <c r="Q41" s="742">
        <v>300.55080595513601</v>
      </c>
      <c r="R41" s="742">
        <v>376.29587022937301</v>
      </c>
      <c r="S41" s="742">
        <v>461.479592415463</v>
      </c>
      <c r="T41" s="742">
        <v>554.77015859800099</v>
      </c>
      <c r="U41" s="742">
        <v>654.29309830145405</v>
      </c>
      <c r="V41" s="742">
        <v>757.75389250491298</v>
      </c>
      <c r="W41" s="742">
        <v>862.61348577631497</v>
      </c>
      <c r="X41" s="742">
        <v>966.29458925146605</v>
      </c>
      <c r="Y41" s="742">
        <v>1066.3910901505601</v>
      </c>
      <c r="Z41" s="742">
        <v>1160.85246665103</v>
      </c>
      <c r="AA41" s="742">
        <v>1248.11992183201</v>
      </c>
      <c r="AB41" s="742">
        <v>1327.1998335851399</v>
      </c>
      <c r="AC41" s="742">
        <v>1397.67100248423</v>
      </c>
      <c r="AD41" s="742">
        <v>1459.63267749892</v>
      </c>
      <c r="AE41" s="742">
        <v>1513.60836987209</v>
      </c>
      <c r="AF41" s="742">
        <v>1560.42474561067</v>
      </c>
    </row>
    <row r="42" spans="1:32">
      <c r="A42" s="742" t="s">
        <v>17</v>
      </c>
      <c r="B42" s="742">
        <v>0</v>
      </c>
      <c r="C42" s="742">
        <v>1.01771690042104</v>
      </c>
      <c r="D42" s="742">
        <v>1.27093441956849</v>
      </c>
      <c r="E42" s="742">
        <v>1.57681087080768</v>
      </c>
      <c r="F42" s="742">
        <v>1.94487508146391</v>
      </c>
      <c r="G42" s="742">
        <v>2.3860668256025099</v>
      </c>
      <c r="H42" s="742">
        <v>2.9128822086633699</v>
      </c>
      <c r="I42" s="742">
        <v>3.5395219147250598</v>
      </c>
      <c r="J42" s="742">
        <v>4.2820398307565801</v>
      </c>
      <c r="K42" s="742">
        <v>5.1584890858377497</v>
      </c>
      <c r="L42" s="742">
        <v>6.1890620644821697</v>
      </c>
      <c r="M42" s="742">
        <v>7.3962204873963504</v>
      </c>
      <c r="N42" s="742">
        <v>8.8048112181047493</v>
      </c>
      <c r="O42" s="742">
        <v>10.442163069721399</v>
      </c>
      <c r="P42" s="742">
        <v>12.3381595741448</v>
      </c>
      <c r="Q42" s="742">
        <v>14.525282458385901</v>
      </c>
      <c r="R42" s="742">
        <v>17.038620472027699</v>
      </c>
      <c r="S42" s="742">
        <v>19.915838247596199</v>
      </c>
      <c r="T42" s="742">
        <v>23.1971000717244</v>
      </c>
      <c r="U42" s="742">
        <v>26.924943816350901</v>
      </c>
      <c r="V42" s="742">
        <v>31.144100838722299</v>
      </c>
      <c r="W42" s="742">
        <v>35.901258414432299</v>
      </c>
      <c r="X42" s="742">
        <v>41.244762220732298</v>
      </c>
      <c r="Y42" s="742">
        <v>47.224257532426499</v>
      </c>
      <c r="Z42" s="742">
        <v>53.890269116575901</v>
      </c>
      <c r="AA42" s="742">
        <v>61.293721293549503</v>
      </c>
      <c r="AB42" s="742">
        <v>69.485401240908104</v>
      </c>
      <c r="AC42" s="742">
        <v>78.5153703153306</v>
      </c>
      <c r="AD42" s="742">
        <v>88.432329910970907</v>
      </c>
      <c r="AE42" s="742">
        <v>99.282950108514299</v>
      </c>
      <c r="AF42" s="742">
        <v>111.111171041003</v>
      </c>
    </row>
    <row r="43" spans="1:32">
      <c r="A43" s="742" t="s">
        <v>18</v>
      </c>
      <c r="B43" s="742">
        <v>0</v>
      </c>
      <c r="C43" s="742">
        <v>0.95734082763167605</v>
      </c>
      <c r="D43" s="742">
        <v>1.2474776212218299</v>
      </c>
      <c r="E43" s="742">
        <v>1.6113154586516001</v>
      </c>
      <c r="F43" s="742">
        <v>2.0649158828590601</v>
      </c>
      <c r="G43" s="742">
        <v>2.6271294195852999</v>
      </c>
      <c r="H43" s="742">
        <v>3.31990608335204</v>
      </c>
      <c r="I43" s="742">
        <v>4.1686004112838004</v>
      </c>
      <c r="J43" s="742">
        <v>5.2022601344954396</v>
      </c>
      <c r="K43" s="742">
        <v>6.4538857716997597</v>
      </c>
      <c r="L43" s="742">
        <v>7.9606467691606504</v>
      </c>
      <c r="M43" s="742">
        <v>9.7640384362446397</v>
      </c>
      <c r="N43" s="742">
        <v>11.9099629673251</v>
      </c>
      <c r="O43" s="742">
        <v>14.4487174326446</v>
      </c>
      <c r="P43" s="742">
        <v>17.434871892279698</v>
      </c>
      <c r="Q43" s="742">
        <v>20.9270218541246</v>
      </c>
      <c r="R43" s="742">
        <v>24.987401250602701</v>
      </c>
      <c r="S43" s="742">
        <v>29.681345007464699</v>
      </c>
      <c r="T43" s="742">
        <v>35.076594135793599</v>
      </c>
      <c r="U43" s="742">
        <v>41.242441057561599</v>
      </c>
      <c r="V43" s="742">
        <v>48.248718480136098</v>
      </c>
      <c r="W43" s="742">
        <v>56.1646414093331</v>
      </c>
      <c r="X43" s="742">
        <v>65.057518616895905</v>
      </c>
      <c r="Y43" s="742">
        <v>74.991356784095601</v>
      </c>
      <c r="Z43" s="742">
        <v>86.0253873098833</v>
      </c>
      <c r="AA43" s="742">
        <v>98.212552048738104</v>
      </c>
      <c r="AB43" s="742">
        <v>111.59798966452</v>
      </c>
      <c r="AC43" s="742">
        <v>126.217568492956</v>
      </c>
      <c r="AD43" s="742">
        <v>142.09651446650199</v>
      </c>
      <c r="AE43" s="742">
        <v>159.24818349309899</v>
      </c>
      <c r="AF43" s="742">
        <v>177.673026490843</v>
      </c>
    </row>
    <row r="44" spans="1:32">
      <c r="A44" s="742" t="s">
        <v>19</v>
      </c>
      <c r="B44" s="742">
        <v>0</v>
      </c>
      <c r="C44" s="742">
        <v>1699.83608357512</v>
      </c>
      <c r="D44" s="742">
        <v>1699.84182007763</v>
      </c>
      <c r="E44" s="742">
        <v>1699.84755658013</v>
      </c>
      <c r="F44" s="742">
        <v>1699.85329308263</v>
      </c>
      <c r="G44" s="742">
        <v>1699.85902958514</v>
      </c>
      <c r="H44" s="742">
        <v>1699.86476608764</v>
      </c>
      <c r="I44" s="742">
        <v>1699.8705025901399</v>
      </c>
      <c r="J44" s="742">
        <v>1699.8762390926399</v>
      </c>
      <c r="K44" s="742">
        <v>1699.8819755951499</v>
      </c>
      <c r="L44" s="742">
        <v>1699.8877120976499</v>
      </c>
      <c r="M44" s="742">
        <v>1699.8934486001499</v>
      </c>
      <c r="N44" s="742">
        <v>1699.8991851026601</v>
      </c>
      <c r="O44" s="742">
        <v>1699.9049216051601</v>
      </c>
      <c r="P44" s="742">
        <v>1699.9106581076601</v>
      </c>
      <c r="Q44" s="742">
        <v>1699.9163946101601</v>
      </c>
      <c r="R44" s="742">
        <v>1699.9221311126701</v>
      </c>
      <c r="S44" s="742">
        <v>1699.92786761517</v>
      </c>
      <c r="T44" s="742">
        <v>1699.93360411767</v>
      </c>
      <c r="U44" s="742">
        <v>1699.93934062018</v>
      </c>
      <c r="V44" s="742">
        <v>1699.94507712268</v>
      </c>
      <c r="W44" s="742">
        <v>1699.95081362518</v>
      </c>
      <c r="X44" s="742">
        <v>1699.95655012768</v>
      </c>
      <c r="Y44" s="742">
        <v>1699.96228663019</v>
      </c>
      <c r="Z44" s="742">
        <v>1699.96802313269</v>
      </c>
      <c r="AA44" s="742">
        <v>1699.9737596351899</v>
      </c>
      <c r="AB44" s="742">
        <v>1699.9794961376999</v>
      </c>
      <c r="AC44" s="742">
        <v>1699.9852326401999</v>
      </c>
      <c r="AD44" s="742">
        <v>1699.9909691426999</v>
      </c>
      <c r="AE44" s="742">
        <v>1699.9967056452001</v>
      </c>
      <c r="AF44" s="742">
        <v>1700.0024421477101</v>
      </c>
    </row>
    <row r="45" spans="1:32">
      <c r="A45" s="742" t="s">
        <v>20</v>
      </c>
      <c r="B45" s="742">
        <v>0</v>
      </c>
      <c r="C45" s="742">
        <v>9.1407854368483699E-2</v>
      </c>
      <c r="D45" s="742">
        <v>0.130616739461176</v>
      </c>
      <c r="E45" s="742">
        <v>0.18511644657169599</v>
      </c>
      <c r="F45" s="742">
        <v>0.26011529029179697</v>
      </c>
      <c r="G45" s="742">
        <v>0.36229506392671301</v>
      </c>
      <c r="H45" s="742">
        <v>0.50011893472185298</v>
      </c>
      <c r="I45" s="742">
        <v>0.68416738837114799</v>
      </c>
      <c r="J45" s="742">
        <v>0.927492603630104</v>
      </c>
      <c r="K45" s="742">
        <v>1.24597699749679</v>
      </c>
      <c r="L45" s="742">
        <v>1.6586766046069701</v>
      </c>
      <c r="M45" s="742">
        <v>2.1881247604117999</v>
      </c>
      <c r="N45" s="742">
        <v>2.8605666821686802</v>
      </c>
      <c r="O45" s="742">
        <v>3.70609152514333</v>
      </c>
      <c r="P45" s="742">
        <v>4.7586259498283798</v>
      </c>
      <c r="Q45" s="742">
        <v>6.0557528145159303</v>
      </c>
      <c r="R45" s="742">
        <v>7.6383209163976398</v>
      </c>
      <c r="S45" s="742">
        <v>9.5498172416110894</v>
      </c>
      <c r="T45" s="742">
        <v>11.8354822525235</v>
      </c>
      <c r="U45" s="742">
        <v>14.541161364282001</v>
      </c>
      <c r="V45" s="742">
        <v>17.711901623463401</v>
      </c>
      <c r="W45" s="742">
        <v>21.390320995692001</v>
      </c>
      <c r="X45" s="742">
        <v>25.6147975035631</v>
      </c>
      <c r="Y45" s="742">
        <v>30.417545290773901</v>
      </c>
      <c r="Z45" s="742">
        <v>35.822662825337197</v>
      </c>
      <c r="AA45" s="742">
        <v>41.8442530755893</v>
      </c>
      <c r="AB45" s="742">
        <v>48.484724831318601</v>
      </c>
      <c r="AC45" s="742">
        <v>55.733386879167099</v>
      </c>
      <c r="AD45" s="742">
        <v>63.5654413970043</v>
      </c>
      <c r="AE45" s="742">
        <v>71.941469235342794</v>
      </c>
      <c r="AF45" s="742">
        <v>80.807477962229697</v>
      </c>
    </row>
    <row r="48" spans="1:32" ht="16.2" thickBot="1">
      <c r="A48" s="51" t="s">
        <v>600</v>
      </c>
      <c r="B48" s="51" t="s">
        <v>37</v>
      </c>
      <c r="C48" s="51" t="s">
        <v>38</v>
      </c>
      <c r="D48" s="51" t="s">
        <v>39</v>
      </c>
      <c r="E48" s="51" t="s">
        <v>40</v>
      </c>
      <c r="F48" s="51" t="s">
        <v>41</v>
      </c>
      <c r="G48" s="51" t="s">
        <v>42</v>
      </c>
      <c r="H48" s="51" t="s">
        <v>43</v>
      </c>
      <c r="I48" s="51" t="s">
        <v>44</v>
      </c>
      <c r="J48" s="51" t="s">
        <v>603</v>
      </c>
      <c r="K48" s="51" t="s">
        <v>604</v>
      </c>
    </row>
    <row r="49" spans="1:11">
      <c r="A49" s="51">
        <v>2020</v>
      </c>
      <c r="B49" s="748" cm="1">
        <f t="array" ref="B49:I79">TRANSPOSE(B38:AF45)</f>
        <v>0</v>
      </c>
      <c r="C49" s="749">
        <v>0</v>
      </c>
      <c r="D49" s="749">
        <v>0</v>
      </c>
      <c r="E49" s="749">
        <v>0</v>
      </c>
      <c r="F49" s="749">
        <v>0</v>
      </c>
      <c r="G49" s="749">
        <v>0</v>
      </c>
      <c r="H49" s="749">
        <v>0</v>
      </c>
      <c r="I49" s="750">
        <v>0</v>
      </c>
      <c r="J49" s="739">
        <f>SUM(B49:I49)</f>
        <v>0</v>
      </c>
      <c r="K49" s="51">
        <f>L2</f>
        <v>0</v>
      </c>
    </row>
    <row r="50" spans="1:11">
      <c r="A50" s="51">
        <v>2021</v>
      </c>
      <c r="B50" s="751">
        <v>1.91841678464579</v>
      </c>
      <c r="C50" s="739">
        <v>2.2619085963558101</v>
      </c>
      <c r="D50" s="739">
        <v>0.30052846550519202</v>
      </c>
      <c r="E50" s="739">
        <v>1.09842153901562</v>
      </c>
      <c r="F50" s="739">
        <v>1.01771690042104</v>
      </c>
      <c r="G50" s="739">
        <v>0.95734082763167605</v>
      </c>
      <c r="H50" s="739">
        <v>1699.83608357512</v>
      </c>
      <c r="I50" s="752">
        <v>9.1407854368483699E-2</v>
      </c>
      <c r="J50" s="739">
        <f t="shared" ref="J50:J79" si="2">SUM(B50:I50)</f>
        <v>1707.4818245430638</v>
      </c>
      <c r="K50" s="51">
        <f t="shared" ref="K50:K79" si="3">L3</f>
        <v>617.927988169586</v>
      </c>
    </row>
    <row r="51" spans="1:11">
      <c r="A51" s="51">
        <v>2022</v>
      </c>
      <c r="B51" s="751">
        <v>2.2003055942098699</v>
      </c>
      <c r="C51" s="739">
        <v>4.3218798794061302</v>
      </c>
      <c r="D51" s="739">
        <v>0.43703319925114398</v>
      </c>
      <c r="E51" s="739">
        <v>1.9394936865446399</v>
      </c>
      <c r="F51" s="739">
        <v>1.27093441956849</v>
      </c>
      <c r="G51" s="739">
        <v>1.2474776212218299</v>
      </c>
      <c r="H51" s="739">
        <v>1699.84182007763</v>
      </c>
      <c r="I51" s="752">
        <v>0.130616739461176</v>
      </c>
      <c r="J51" s="739">
        <f t="shared" si="2"/>
        <v>1711.3895612172932</v>
      </c>
      <c r="K51" s="51">
        <f t="shared" si="3"/>
        <v>621.63694916591601</v>
      </c>
    </row>
    <row r="52" spans="1:11">
      <c r="A52" s="51">
        <v>2023</v>
      </c>
      <c r="B52" s="751">
        <v>2.5206944950706198</v>
      </c>
      <c r="C52" s="739">
        <v>7.9274171212909001</v>
      </c>
      <c r="D52" s="739">
        <v>0.62711286448953096</v>
      </c>
      <c r="E52" s="739">
        <v>3.3262867926372901</v>
      </c>
      <c r="F52" s="739">
        <v>1.57681087080768</v>
      </c>
      <c r="G52" s="739">
        <v>1.6113154586516001</v>
      </c>
      <c r="H52" s="739">
        <v>1699.84755658013</v>
      </c>
      <c r="I52" s="752">
        <v>0.18511644657169599</v>
      </c>
      <c r="J52" s="739">
        <f t="shared" si="2"/>
        <v>1717.6223106296495</v>
      </c>
      <c r="K52" s="51">
        <f t="shared" si="3"/>
        <v>627.55467226347605</v>
      </c>
    </row>
    <row r="53" spans="1:11">
      <c r="A53" s="51">
        <v>2024</v>
      </c>
      <c r="B53" s="751">
        <v>2.88414974751081</v>
      </c>
      <c r="C53" s="739">
        <v>13.9927037569341</v>
      </c>
      <c r="D53" s="739">
        <v>0.88918100248743703</v>
      </c>
      <c r="E53" s="739">
        <v>5.5506454326762196</v>
      </c>
      <c r="F53" s="739">
        <v>1.94487508146391</v>
      </c>
      <c r="G53" s="739">
        <v>2.0649158828590601</v>
      </c>
      <c r="H53" s="739">
        <v>1699.85329308263</v>
      </c>
      <c r="I53" s="752">
        <v>0.26011529029179697</v>
      </c>
      <c r="J53" s="739">
        <f t="shared" si="2"/>
        <v>1727.4398792768534</v>
      </c>
      <c r="K53" s="51">
        <f t="shared" si="3"/>
        <v>636.87797363414097</v>
      </c>
    </row>
    <row r="54" spans="1:11">
      <c r="A54" s="51">
        <v>2025</v>
      </c>
      <c r="B54" s="751">
        <v>3.29567653614561</v>
      </c>
      <c r="C54" s="739">
        <v>23.799353720729801</v>
      </c>
      <c r="D54" s="739">
        <v>1.2469359054837099</v>
      </c>
      <c r="E54" s="739">
        <v>9.0213662470540807</v>
      </c>
      <c r="F54" s="739">
        <v>2.3860668256025099</v>
      </c>
      <c r="G54" s="739">
        <v>2.6271294195852999</v>
      </c>
      <c r="H54" s="739">
        <v>1699.85902958514</v>
      </c>
      <c r="I54" s="752">
        <v>0.36229506392671301</v>
      </c>
      <c r="J54" s="739">
        <f t="shared" si="2"/>
        <v>1742.5978533036678</v>
      </c>
      <c r="K54" s="51">
        <f t="shared" si="3"/>
        <v>651.27466011542595</v>
      </c>
    </row>
    <row r="55" spans="1:11">
      <c r="A55" s="51">
        <v>2026</v>
      </c>
      <c r="B55" s="751">
        <v>3.7607469954641899</v>
      </c>
      <c r="C55" s="739">
        <v>39.0397773390292</v>
      </c>
      <c r="D55" s="739">
        <v>1.7304979083735601</v>
      </c>
      <c r="E55" s="739">
        <v>14.289594123824401</v>
      </c>
      <c r="F55" s="739">
        <v>2.9128822086633699</v>
      </c>
      <c r="G55" s="739">
        <v>3.31990608335204</v>
      </c>
      <c r="H55" s="739">
        <v>1699.86476608764</v>
      </c>
      <c r="I55" s="752">
        <v>0.50011893472185298</v>
      </c>
      <c r="J55" s="739">
        <f t="shared" si="2"/>
        <v>1765.4182896810685</v>
      </c>
      <c r="K55" s="51">
        <f t="shared" si="3"/>
        <v>672.95068582977797</v>
      </c>
    </row>
    <row r="56" spans="1:11">
      <c r="A56" s="51">
        <v>2027</v>
      </c>
      <c r="B56" s="751">
        <v>4.2853281413618696</v>
      </c>
      <c r="C56" s="739">
        <v>61.806682758371402</v>
      </c>
      <c r="D56" s="739">
        <v>2.37766521322229</v>
      </c>
      <c r="E56" s="739">
        <v>22.069050095748501</v>
      </c>
      <c r="F56" s="739">
        <v>3.5395219147250598</v>
      </c>
      <c r="G56" s="739">
        <v>4.1686004112838004</v>
      </c>
      <c r="H56" s="739">
        <v>1699.8705025901399</v>
      </c>
      <c r="I56" s="752">
        <v>0.68416738837114799</v>
      </c>
      <c r="J56" s="739">
        <f t="shared" si="2"/>
        <v>1798.801518513224</v>
      </c>
      <c r="K56" s="51">
        <f t="shared" si="3"/>
        <v>704.66136437614705</v>
      </c>
    </row>
    <row r="57" spans="1:11">
      <c r="A57" s="51">
        <v>2028</v>
      </c>
      <c r="B57" s="751">
        <v>4.8759094101627198</v>
      </c>
      <c r="C57" s="739">
        <v>94.500909105422906</v>
      </c>
      <c r="D57" s="739">
        <v>3.2352591053542601</v>
      </c>
      <c r="E57" s="739">
        <v>33.2450242018773</v>
      </c>
      <c r="F57" s="739">
        <v>4.2820398307565801</v>
      </c>
      <c r="G57" s="739">
        <v>5.2022601344954396</v>
      </c>
      <c r="H57" s="739">
        <v>1699.8762390926399</v>
      </c>
      <c r="I57" s="752">
        <v>0.927492603630104</v>
      </c>
      <c r="J57" s="739">
        <f t="shared" si="2"/>
        <v>1846.1451334843391</v>
      </c>
      <c r="K57" s="51">
        <f t="shared" si="3"/>
        <v>749.63440975452795</v>
      </c>
    </row>
    <row r="58" spans="1:11">
      <c r="A58" s="51">
        <v>2029</v>
      </c>
      <c r="B58" s="751">
        <v>5.5395294720416102</v>
      </c>
      <c r="C58" s="739">
        <v>139.63819828112699</v>
      </c>
      <c r="D58" s="739">
        <v>4.36051337861573</v>
      </c>
      <c r="E58" s="739">
        <v>48.865240241658697</v>
      </c>
      <c r="F58" s="739">
        <v>5.1584890858377497</v>
      </c>
      <c r="G58" s="739">
        <v>6.4538857716997597</v>
      </c>
      <c r="H58" s="739">
        <v>1699.8819755951499</v>
      </c>
      <c r="I58" s="752">
        <v>1.24597699749679</v>
      </c>
      <c r="J58" s="739">
        <f t="shared" si="2"/>
        <v>1911.1438088236273</v>
      </c>
      <c r="K58" s="51">
        <f t="shared" si="3"/>
        <v>811.37976248266398</v>
      </c>
    </row>
    <row r="59" spans="1:11">
      <c r="A59" s="51">
        <v>2030</v>
      </c>
      <c r="B59" s="751">
        <v>6.28380195136456</v>
      </c>
      <c r="C59" s="739">
        <v>199.554463058219</v>
      </c>
      <c r="D59" s="739">
        <v>5.8224449211487501</v>
      </c>
      <c r="E59" s="739">
        <v>70.106050117810597</v>
      </c>
      <c r="F59" s="739">
        <v>6.1890620644821697</v>
      </c>
      <c r="G59" s="739">
        <v>7.9606467691606504</v>
      </c>
      <c r="H59" s="739">
        <v>1699.8877120976499</v>
      </c>
      <c r="I59" s="752">
        <v>1.6586766046069701</v>
      </c>
      <c r="J59" s="739">
        <f t="shared" si="2"/>
        <v>1997.4628575844426</v>
      </c>
      <c r="K59" s="51">
        <f t="shared" si="3"/>
        <v>893.37946996126004</v>
      </c>
    </row>
    <row r="60" spans="1:11">
      <c r="A60" s="51">
        <v>2031</v>
      </c>
      <c r="B60" s="751">
        <v>7.11693965285638</v>
      </c>
      <c r="C60" s="739">
        <v>276.03660528632901</v>
      </c>
      <c r="D60" s="739">
        <v>7.7031237325391499</v>
      </c>
      <c r="E60" s="739">
        <v>98.209394773080803</v>
      </c>
      <c r="F60" s="739">
        <v>7.3962204873963504</v>
      </c>
      <c r="G60" s="739">
        <v>9.7640384362446397</v>
      </c>
      <c r="H60" s="739">
        <v>1699.8934486001499</v>
      </c>
      <c r="I60" s="752">
        <v>2.1881247604117999</v>
      </c>
      <c r="J60" s="739">
        <f t="shared" si="2"/>
        <v>2108.3078957290081</v>
      </c>
      <c r="K60" s="51">
        <f t="shared" si="3"/>
        <v>998.678867354418</v>
      </c>
    </row>
    <row r="61" spans="1:11">
      <c r="A61" s="51">
        <v>2032</v>
      </c>
      <c r="B61" s="751">
        <v>8.0477768603172901</v>
      </c>
      <c r="C61" s="739">
        <v>369.93563462822101</v>
      </c>
      <c r="D61" s="739">
        <v>10.0987425690777</v>
      </c>
      <c r="E61" s="739">
        <v>134.389758567103</v>
      </c>
      <c r="F61" s="739">
        <v>8.8048112181047493</v>
      </c>
      <c r="G61" s="739">
        <v>11.9099629673251</v>
      </c>
      <c r="H61" s="739">
        <v>1699.8991851026601</v>
      </c>
      <c r="I61" s="752">
        <v>2.8605666821686802</v>
      </c>
      <c r="J61" s="739">
        <f t="shared" si="2"/>
        <v>2245.9464385949777</v>
      </c>
      <c r="K61" s="51">
        <f t="shared" si="3"/>
        <v>1129.4320942329</v>
      </c>
    </row>
    <row r="62" spans="1:11">
      <c r="A62" s="51">
        <v>2033</v>
      </c>
      <c r="B62" s="751">
        <v>9.0857892445413899</v>
      </c>
      <c r="C62" s="739">
        <v>480.84106386705702</v>
      </c>
      <c r="D62" s="739">
        <v>13.1203707465879</v>
      </c>
      <c r="E62" s="739">
        <v>179.715686309728</v>
      </c>
      <c r="F62" s="739">
        <v>10.442163069721399</v>
      </c>
      <c r="G62" s="739">
        <v>14.4487174326446</v>
      </c>
      <c r="H62" s="739">
        <v>1699.9049216051601</v>
      </c>
      <c r="I62" s="752">
        <v>3.70609152514333</v>
      </c>
      <c r="J62" s="739">
        <f t="shared" si="2"/>
        <v>2411.2648038005836</v>
      </c>
      <c r="K62" s="51">
        <f t="shared" si="3"/>
        <v>1286.48115233404</v>
      </c>
    </row>
    <row r="63" spans="1:11">
      <c r="A63" s="51">
        <v>2034</v>
      </c>
      <c r="B63" s="751">
        <v>10.2411108898823</v>
      </c>
      <c r="C63" s="739">
        <v>606.90032726810102</v>
      </c>
      <c r="D63" s="739">
        <v>16.894265464459501</v>
      </c>
      <c r="E63" s="739">
        <v>234.97654143710099</v>
      </c>
      <c r="F63" s="739">
        <v>12.3381595741448</v>
      </c>
      <c r="G63" s="739">
        <v>17.434871892279698</v>
      </c>
      <c r="H63" s="739">
        <v>1699.9106581076601</v>
      </c>
      <c r="I63" s="752">
        <v>4.7586259498283798</v>
      </c>
      <c r="J63" s="739">
        <f t="shared" si="2"/>
        <v>2603.4545605834569</v>
      </c>
      <c r="K63" s="51">
        <f t="shared" si="3"/>
        <v>1469.0580324335899</v>
      </c>
    </row>
    <row r="64" spans="1:11">
      <c r="A64" s="51">
        <v>2035</v>
      </c>
      <c r="B64" s="751">
        <v>11.5245479253515</v>
      </c>
      <c r="C64" s="739">
        <v>744.84814762877602</v>
      </c>
      <c r="D64" s="739">
        <v>21.561609591601599</v>
      </c>
      <c r="E64" s="739">
        <v>300.55080595513601</v>
      </c>
      <c r="F64" s="739">
        <v>14.525282458385901</v>
      </c>
      <c r="G64" s="739">
        <v>20.9270218541246</v>
      </c>
      <c r="H64" s="739">
        <v>1699.9163946101601</v>
      </c>
      <c r="I64" s="752">
        <v>6.0557528145159303</v>
      </c>
      <c r="J64" s="739">
        <f t="shared" si="2"/>
        <v>2819.9095628380514</v>
      </c>
      <c r="K64" s="51">
        <f t="shared" si="3"/>
        <v>1674.6868957312799</v>
      </c>
    </row>
    <row r="65" spans="1:11">
      <c r="A65" s="51">
        <v>2036</v>
      </c>
      <c r="B65" s="751">
        <v>12.9475882270265</v>
      </c>
      <c r="C65" s="739">
        <v>890.269633922715</v>
      </c>
      <c r="D65" s="739">
        <v>27.277549355941701</v>
      </c>
      <c r="E65" s="739">
        <v>376.29587022937301</v>
      </c>
      <c r="F65" s="739">
        <v>17.038620472027699</v>
      </c>
      <c r="G65" s="739">
        <v>24.987401250602701</v>
      </c>
      <c r="H65" s="739">
        <v>1699.9221311126701</v>
      </c>
      <c r="I65" s="752">
        <v>7.6383209163976398</v>
      </c>
      <c r="J65" s="739">
        <f t="shared" si="2"/>
        <v>3056.3771154867545</v>
      </c>
      <c r="K65" s="51">
        <f t="shared" si="3"/>
        <v>1899.3276819033599</v>
      </c>
    </row>
    <row r="66" spans="1:11">
      <c r="A66" s="51">
        <v>2037</v>
      </c>
      <c r="B66" s="751">
        <v>14.522406644728401</v>
      </c>
      <c r="C66" s="739">
        <v>1038.0671343384399</v>
      </c>
      <c r="D66" s="739">
        <v>34.209420668048402</v>
      </c>
      <c r="E66" s="739">
        <v>461.479592415463</v>
      </c>
      <c r="F66" s="739">
        <v>19.915838247596199</v>
      </c>
      <c r="G66" s="739">
        <v>29.681345007464699</v>
      </c>
      <c r="H66" s="739">
        <v>1699.92786761517</v>
      </c>
      <c r="I66" s="752">
        <v>9.5498172416110894</v>
      </c>
      <c r="J66" s="739">
        <f t="shared" si="2"/>
        <v>3307.3534221785212</v>
      </c>
      <c r="K66" s="51">
        <f t="shared" si="3"/>
        <v>2137.7517844163599</v>
      </c>
    </row>
    <row r="67" spans="1:11">
      <c r="A67" s="51">
        <v>2038</v>
      </c>
      <c r="B67" s="751">
        <v>16.261865198208401</v>
      </c>
      <c r="C67" s="739">
        <v>1183.05013620256</v>
      </c>
      <c r="D67" s="739">
        <v>42.534080149329597</v>
      </c>
      <c r="E67" s="739">
        <v>554.77015859800099</v>
      </c>
      <c r="F67" s="739">
        <v>23.1971000717244</v>
      </c>
      <c r="G67" s="739">
        <v>35.076594135793599</v>
      </c>
      <c r="H67" s="739">
        <v>1699.93360411767</v>
      </c>
      <c r="I67" s="752">
        <v>11.8354822525235</v>
      </c>
      <c r="J67" s="739">
        <f t="shared" si="2"/>
        <v>3566.6590207258105</v>
      </c>
      <c r="K67" s="51">
        <f t="shared" si="3"/>
        <v>2384.0887141921098</v>
      </c>
    </row>
    <row r="68" spans="1:11">
      <c r="A68" s="51">
        <v>2039</v>
      </c>
      <c r="B68" s="751">
        <v>18.179507687292102</v>
      </c>
      <c r="C68" s="739">
        <v>1320.53591175565</v>
      </c>
      <c r="D68" s="739">
        <v>52.434296704956601</v>
      </c>
      <c r="E68" s="739">
        <v>654.29309830145405</v>
      </c>
      <c r="F68" s="739">
        <v>26.924943816350901</v>
      </c>
      <c r="G68" s="739">
        <v>41.242441057561599</v>
      </c>
      <c r="H68" s="739">
        <v>1699.93934062018</v>
      </c>
      <c r="I68" s="752">
        <v>14.541161364282001</v>
      </c>
      <c r="J68" s="739">
        <f t="shared" si="2"/>
        <v>3828.0907013077276</v>
      </c>
      <c r="K68" s="51">
        <f t="shared" si="3"/>
        <v>2632.4454219007398</v>
      </c>
    </row>
    <row r="69" spans="1:11">
      <c r="A69" s="51">
        <v>2040</v>
      </c>
      <c r="B69" s="751">
        <v>20.289548167326402</v>
      </c>
      <c r="C69" s="739">
        <v>1446.84656302845</v>
      </c>
      <c r="D69" s="739">
        <v>64.094210932837697</v>
      </c>
      <c r="E69" s="739">
        <v>757.75389250491298</v>
      </c>
      <c r="F69" s="739">
        <v>31.144100838722299</v>
      </c>
      <c r="G69" s="739">
        <v>48.248718480136098</v>
      </c>
      <c r="H69" s="739">
        <v>1699.94507712268</v>
      </c>
      <c r="I69" s="752">
        <v>17.711901623463401</v>
      </c>
      <c r="J69" s="739">
        <f t="shared" si="2"/>
        <v>4086.0340126985288</v>
      </c>
      <c r="K69" s="51">
        <f t="shared" si="3"/>
        <v>2877.4881788778198</v>
      </c>
    </row>
    <row r="70" spans="1:11">
      <c r="A70" s="51">
        <v>2041</v>
      </c>
      <c r="B70" s="751">
        <v>22.6068527565909</v>
      </c>
      <c r="C70" s="739">
        <v>1559.61615838329</v>
      </c>
      <c r="D70" s="739">
        <v>77.693930753556302</v>
      </c>
      <c r="E70" s="739">
        <v>862.61348577631497</v>
      </c>
      <c r="F70" s="739">
        <v>35.901258414432299</v>
      </c>
      <c r="G70" s="739">
        <v>56.1646414093331</v>
      </c>
      <c r="H70" s="739">
        <v>1699.95081362518</v>
      </c>
      <c r="I70" s="752">
        <v>21.390320995692001</v>
      </c>
      <c r="J70" s="739">
        <f t="shared" si="2"/>
        <v>4335.9374621143888</v>
      </c>
      <c r="K70" s="51">
        <f t="shared" si="3"/>
        <v>3114.8930669787201</v>
      </c>
    </row>
    <row r="71" spans="1:11">
      <c r="A71" s="51">
        <v>2042</v>
      </c>
      <c r="B71" s="751">
        <v>25.146914266719101</v>
      </c>
      <c r="C71" s="739">
        <v>1657.8702683453901</v>
      </c>
      <c r="D71" s="739">
        <v>93.403399007536606</v>
      </c>
      <c r="E71" s="739">
        <v>966.29458925146605</v>
      </c>
      <c r="F71" s="739">
        <v>41.244762220732298</v>
      </c>
      <c r="G71" s="739">
        <v>65.057518616895905</v>
      </c>
      <c r="H71" s="739">
        <v>1699.95655012768</v>
      </c>
      <c r="I71" s="752">
        <v>25.6147975035631</v>
      </c>
      <c r="J71" s="739">
        <f t="shared" si="2"/>
        <v>4574.5887993399829</v>
      </c>
      <c r="K71" s="51">
        <f t="shared" si="3"/>
        <v>3341.6084484988401</v>
      </c>
    </row>
    <row r="72" spans="1:11">
      <c r="A72" s="51">
        <v>2043</v>
      </c>
      <c r="B72" s="751">
        <v>27.9258191811738</v>
      </c>
      <c r="C72" s="739">
        <v>1741.8937120549199</v>
      </c>
      <c r="D72" s="739">
        <v>111.37573778788899</v>
      </c>
      <c r="E72" s="739">
        <v>1066.3910901505601</v>
      </c>
      <c r="F72" s="739">
        <v>47.224257532426499</v>
      </c>
      <c r="G72" s="739">
        <v>74.991356784095601</v>
      </c>
      <c r="H72" s="739">
        <v>1699.96228663019</v>
      </c>
      <c r="I72" s="752">
        <v>30.417545290773901</v>
      </c>
      <c r="J72" s="739">
        <f t="shared" si="2"/>
        <v>4800.1818054120286</v>
      </c>
      <c r="K72" s="51">
        <f t="shared" si="3"/>
        <v>3555.9184154231102</v>
      </c>
    </row>
    <row r="73" spans="1:11">
      <c r="A73" s="51">
        <v>2044</v>
      </c>
      <c r="B73" s="751">
        <v>30.960206550890199</v>
      </c>
      <c r="C73" s="739">
        <v>1812.9449401361601</v>
      </c>
      <c r="D73" s="739">
        <v>131.740339388564</v>
      </c>
      <c r="E73" s="739">
        <v>1160.85246665103</v>
      </c>
      <c r="F73" s="739">
        <v>53.890269116575901</v>
      </c>
      <c r="G73" s="739">
        <v>86.0253873098833</v>
      </c>
      <c r="H73" s="739">
        <v>1699.96802313269</v>
      </c>
      <c r="I73" s="752">
        <v>35.822662825337197</v>
      </c>
      <c r="J73" s="739">
        <f t="shared" si="2"/>
        <v>5012.2042951111298</v>
      </c>
      <c r="K73" s="51">
        <f t="shared" si="3"/>
        <v>3757.3363917930801</v>
      </c>
    </row>
    <row r="74" spans="1:11">
      <c r="A74" s="51">
        <v>2045</v>
      </c>
      <c r="B74" s="751">
        <v>34.267218430623302</v>
      </c>
      <c r="C74" s="739">
        <v>1872.89689049608</v>
      </c>
      <c r="D74" s="739">
        <v>154.59602883733601</v>
      </c>
      <c r="E74" s="739">
        <v>1248.11992183201</v>
      </c>
      <c r="F74" s="739">
        <v>61.293721293549503</v>
      </c>
      <c r="G74" s="739">
        <v>98.212552048738104</v>
      </c>
      <c r="H74" s="739">
        <v>1699.9737596351899</v>
      </c>
      <c r="I74" s="752">
        <v>41.8442530755893</v>
      </c>
      <c r="J74" s="739">
        <f t="shared" si="2"/>
        <v>5211.2043456491156</v>
      </c>
      <c r="K74" s="51">
        <f t="shared" si="3"/>
        <v>3946.3830509599902</v>
      </c>
    </row>
    <row r="75" spans="1:11">
      <c r="A75" s="51">
        <v>2046</v>
      </c>
      <c r="B75" s="751">
        <v>37.864441544482197</v>
      </c>
      <c r="C75" s="739">
        <v>1923.88227611449</v>
      </c>
      <c r="D75" s="739">
        <v>180.00466196214501</v>
      </c>
      <c r="E75" s="739">
        <v>1327.1998335851399</v>
      </c>
      <c r="F75" s="739">
        <v>69.485401240908104</v>
      </c>
      <c r="G75" s="739">
        <v>111.59798966452</v>
      </c>
      <c r="H75" s="739">
        <v>1699.9794961376999</v>
      </c>
      <c r="I75" s="752">
        <v>48.484724831318601</v>
      </c>
      <c r="J75" s="739">
        <f t="shared" si="2"/>
        <v>5398.4988250807037</v>
      </c>
      <c r="K75" s="51">
        <f t="shared" si="3"/>
        <v>4124.3094175758097</v>
      </c>
    </row>
    <row r="76" spans="1:11">
      <c r="A76" s="51">
        <v>2047</v>
      </c>
      <c r="B76" s="751">
        <v>41.7698399445663</v>
      </c>
      <c r="C76" s="739">
        <v>1968.00149219328</v>
      </c>
      <c r="D76" s="739">
        <v>207.98554037989501</v>
      </c>
      <c r="E76" s="739">
        <v>1397.67100248423</v>
      </c>
      <c r="F76" s="739">
        <v>78.5153703153306</v>
      </c>
      <c r="G76" s="739">
        <v>126.217568492956</v>
      </c>
      <c r="H76" s="739">
        <v>1699.9852326401999</v>
      </c>
      <c r="I76" s="752">
        <v>55.733386879167099</v>
      </c>
      <c r="J76" s="739">
        <f t="shared" si="2"/>
        <v>5575.8794333296255</v>
      </c>
      <c r="K76" s="51">
        <f t="shared" si="3"/>
        <v>4292.81760656811</v>
      </c>
    </row>
    <row r="77" spans="1:11">
      <c r="A77" s="51">
        <v>2048</v>
      </c>
      <c r="B77" s="751">
        <v>46.001678512329804</v>
      </c>
      <c r="C77" s="739">
        <v>2007.1231861999299</v>
      </c>
      <c r="D77" s="739">
        <v>238.5110165895</v>
      </c>
      <c r="E77" s="739">
        <v>1459.63267749892</v>
      </c>
      <c r="F77" s="739">
        <v>88.432329910970907</v>
      </c>
      <c r="G77" s="739">
        <v>142.09651446650199</v>
      </c>
      <c r="H77" s="739">
        <v>1699.9909691426999</v>
      </c>
      <c r="I77" s="752">
        <v>63.5654413970043</v>
      </c>
      <c r="J77" s="739">
        <f t="shared" si="2"/>
        <v>5745.3538137178566</v>
      </c>
      <c r="K77" s="51">
        <f t="shared" si="3"/>
        <v>4453.8148790927498</v>
      </c>
    </row>
    <row r="78" spans="1:11">
      <c r="A78" s="51">
        <v>2049</v>
      </c>
      <c r="B78" s="751">
        <v>50.578437247873403</v>
      </c>
      <c r="C78" s="739">
        <v>2042.78057743316</v>
      </c>
      <c r="D78" s="739">
        <v>271.50362629433403</v>
      </c>
      <c r="E78" s="739">
        <v>1513.60836987209</v>
      </c>
      <c r="F78" s="739">
        <v>99.282950108514299</v>
      </c>
      <c r="G78" s="739">
        <v>159.24818349309899</v>
      </c>
      <c r="H78" s="739">
        <v>1699.9967056452001</v>
      </c>
      <c r="I78" s="752">
        <v>71.941469235342794</v>
      </c>
      <c r="J78" s="739">
        <f t="shared" si="2"/>
        <v>5908.9403193296139</v>
      </c>
      <c r="K78" s="51">
        <f t="shared" si="3"/>
        <v>4609.2186705797303</v>
      </c>
    </row>
    <row r="79" spans="1:11" ht="16.2" thickBot="1">
      <c r="A79" s="51">
        <v>2050</v>
      </c>
      <c r="B79" s="753">
        <v>55.518716397173698</v>
      </c>
      <c r="C79" s="754">
        <v>2076.1473649264299</v>
      </c>
      <c r="D79" s="754">
        <v>306.835021322535</v>
      </c>
      <c r="E79" s="754">
        <v>1560.42474561067</v>
      </c>
      <c r="F79" s="754">
        <v>111.111171041003</v>
      </c>
      <c r="G79" s="754">
        <v>177.673026490843</v>
      </c>
      <c r="H79" s="754">
        <v>1700.0024421477101</v>
      </c>
      <c r="I79" s="755">
        <v>80.807477962229697</v>
      </c>
      <c r="J79" s="739">
        <f t="shared" si="2"/>
        <v>6068.5199658985939</v>
      </c>
      <c r="K79" s="51">
        <f t="shared" si="3"/>
        <v>4760.81594597607</v>
      </c>
    </row>
    <row r="81" spans="1:11">
      <c r="B81" s="51" t="s">
        <v>37</v>
      </c>
      <c r="C81" s="51" t="s">
        <v>38</v>
      </c>
      <c r="D81" s="51" t="s">
        <v>39</v>
      </c>
      <c r="E81" s="51" t="s">
        <v>40</v>
      </c>
      <c r="F81" s="51" t="s">
        <v>41</v>
      </c>
      <c r="G81" s="51" t="s">
        <v>42</v>
      </c>
      <c r="H81" s="51" t="s">
        <v>43</v>
      </c>
      <c r="I81" s="51" t="s">
        <v>44</v>
      </c>
    </row>
    <row r="82" spans="1:11">
      <c r="A82" s="51" t="s">
        <v>601</v>
      </c>
      <c r="B82" s="51" cm="1">
        <f t="array" ref="B82:I82">TRANSPOSE(end_use!G2:G9)</f>
        <v>0.95</v>
      </c>
      <c r="C82" s="51">
        <v>0.95</v>
      </c>
      <c r="D82" s="51">
        <v>0.95</v>
      </c>
      <c r="E82" s="51">
        <v>0.95</v>
      </c>
      <c r="F82" s="51">
        <v>0.95</v>
      </c>
      <c r="G82" s="51">
        <v>0.95</v>
      </c>
      <c r="H82" s="51">
        <v>0.36599999999999999</v>
      </c>
      <c r="I82" s="51">
        <v>0.95</v>
      </c>
    </row>
    <row r="83" spans="1:11" ht="16.2" thickBot="1">
      <c r="A83" s="51" t="s">
        <v>457</v>
      </c>
      <c r="B83" s="51" t="s">
        <v>13</v>
      </c>
      <c r="C83" s="51" t="s">
        <v>14</v>
      </c>
      <c r="D83" s="51" t="s">
        <v>15</v>
      </c>
      <c r="E83" s="51" t="s">
        <v>16</v>
      </c>
      <c r="F83" s="51" t="s">
        <v>17</v>
      </c>
      <c r="G83" s="51" t="s">
        <v>18</v>
      </c>
      <c r="H83" s="51" t="s">
        <v>19</v>
      </c>
      <c r="I83" s="51" t="s">
        <v>20</v>
      </c>
      <c r="J83" s="51" t="s">
        <v>603</v>
      </c>
      <c r="K83" s="51" t="s">
        <v>604</v>
      </c>
    </row>
    <row r="84" spans="1:11">
      <c r="A84" s="51">
        <v>2020</v>
      </c>
      <c r="B84" s="757">
        <f>B2-B49</f>
        <v>262.24072820496161</v>
      </c>
      <c r="C84" s="758">
        <f t="shared" ref="C84:I84" si="4">C2-C49</f>
        <v>1413.8677185192548</v>
      </c>
      <c r="D84" s="758">
        <f t="shared" si="4"/>
        <v>524.78956542767355</v>
      </c>
      <c r="E84" s="758">
        <f t="shared" si="4"/>
        <v>885.04113954509535</v>
      </c>
      <c r="F84" s="758">
        <f t="shared" si="4"/>
        <v>348.47076409232585</v>
      </c>
      <c r="G84" s="758">
        <f t="shared" si="4"/>
        <v>264.14836117574691</v>
      </c>
      <c r="H84" s="758">
        <f t="shared" si="4"/>
        <v>1699.8356289584726</v>
      </c>
      <c r="I84" s="759">
        <f t="shared" si="4"/>
        <v>261.68704052518302</v>
      </c>
      <c r="J84" s="756">
        <f>SUM(B84:I84)</f>
        <v>5660.0809464487138</v>
      </c>
      <c r="K84" s="51">
        <f>M2</f>
        <v>4384.3728918145298</v>
      </c>
    </row>
    <row r="85" spans="1:11">
      <c r="A85" s="51">
        <v>2021</v>
      </c>
      <c r="B85" s="760">
        <f t="shared" ref="B85:I114" si="5">B3-B50</f>
        <v>276.07642468109822</v>
      </c>
      <c r="C85" s="756">
        <f t="shared" si="5"/>
        <v>1404.4862080230168</v>
      </c>
      <c r="D85" s="756">
        <f t="shared" si="5"/>
        <v>544.82371922134109</v>
      </c>
      <c r="E85" s="756">
        <f t="shared" si="5"/>
        <v>913.93685245829113</v>
      </c>
      <c r="F85" s="756">
        <f t="shared" si="5"/>
        <v>362.71479271004773</v>
      </c>
      <c r="G85" s="756">
        <f t="shared" si="5"/>
        <v>272.57652937323491</v>
      </c>
      <c r="H85" s="756">
        <f t="shared" si="5"/>
        <v>5.2818858548562275E-3</v>
      </c>
      <c r="I85" s="761">
        <f t="shared" si="5"/>
        <v>262.11542508706265</v>
      </c>
      <c r="J85" s="756">
        <f t="shared" ref="J85:J114" si="6">SUM(B85:I85)</f>
        <v>4036.735233439947</v>
      </c>
      <c r="K85" s="51">
        <f t="shared" ref="K85:K114" si="7">M3</f>
        <v>3846.3708594850655</v>
      </c>
    </row>
    <row r="86" spans="1:11">
      <c r="A86" s="51">
        <v>2022</v>
      </c>
      <c r="B86" s="760">
        <f t="shared" si="5"/>
        <v>292.0768954305529</v>
      </c>
      <c r="C86" s="756">
        <f t="shared" si="5"/>
        <v>1396.8730847682516</v>
      </c>
      <c r="D86" s="756">
        <f t="shared" si="5"/>
        <v>565.11186090682645</v>
      </c>
      <c r="E86" s="756">
        <f t="shared" si="5"/>
        <v>942.10858307495607</v>
      </c>
      <c r="F86" s="756">
        <f t="shared" si="5"/>
        <v>377.59253907302929</v>
      </c>
      <c r="G86" s="756">
        <f t="shared" si="5"/>
        <v>281.67878555454479</v>
      </c>
      <c r="H86" s="756">
        <f t="shared" si="5"/>
        <v>5.2818858484897646E-3</v>
      </c>
      <c r="I86" s="761">
        <f t="shared" si="5"/>
        <v>262.55556691305179</v>
      </c>
      <c r="J86" s="756">
        <f t="shared" si="6"/>
        <v>4118.0025976070619</v>
      </c>
      <c r="K86" s="51">
        <f t="shared" si="7"/>
        <v>3923.5748941705488</v>
      </c>
    </row>
    <row r="87" spans="1:11">
      <c r="A87" s="51">
        <v>2023</v>
      </c>
      <c r="B87" s="760">
        <f t="shared" si="5"/>
        <v>308.55428530757115</v>
      </c>
      <c r="C87" s="756">
        <f t="shared" si="5"/>
        <v>1392.3206955320877</v>
      </c>
      <c r="D87" s="756">
        <f t="shared" si="5"/>
        <v>585.41747472003055</v>
      </c>
      <c r="E87" s="756">
        <f t="shared" si="5"/>
        <v>968.47875238470453</v>
      </c>
      <c r="F87" s="756">
        <f t="shared" si="5"/>
        <v>392.24625450048546</v>
      </c>
      <c r="G87" s="756">
        <f t="shared" si="5"/>
        <v>290.73423867636097</v>
      </c>
      <c r="H87" s="756">
        <f t="shared" si="5"/>
        <v>5.2818858507635014E-3</v>
      </c>
      <c r="I87" s="761">
        <f t="shared" si="5"/>
        <v>262.99632622394142</v>
      </c>
      <c r="J87" s="756">
        <f t="shared" si="6"/>
        <v>4200.7533092310323</v>
      </c>
      <c r="K87" s="51">
        <f t="shared" si="7"/>
        <v>4002.1881089400395</v>
      </c>
    </row>
    <row r="88" spans="1:11">
      <c r="A88" s="51">
        <v>2024</v>
      </c>
      <c r="B88" s="760">
        <f t="shared" si="5"/>
        <v>325.48895501244908</v>
      </c>
      <c r="C88" s="756">
        <f t="shared" si="5"/>
        <v>1392.3598118464083</v>
      </c>
      <c r="D88" s="756">
        <f t="shared" si="5"/>
        <v>605.69262049846589</v>
      </c>
      <c r="E88" s="756">
        <f t="shared" si="5"/>
        <v>992.6100344997659</v>
      </c>
      <c r="F88" s="756">
        <f t="shared" si="5"/>
        <v>406.62966568070397</v>
      </c>
      <c r="G88" s="756">
        <f t="shared" si="5"/>
        <v>299.74836591408462</v>
      </c>
      <c r="H88" s="756">
        <f t="shared" si="5"/>
        <v>5.2818858532646118E-3</v>
      </c>
      <c r="I88" s="761">
        <f t="shared" si="5"/>
        <v>263.47737757661622</v>
      </c>
      <c r="J88" s="756">
        <f t="shared" si="6"/>
        <v>4286.0121129143472</v>
      </c>
      <c r="K88" s="51">
        <f t="shared" si="7"/>
        <v>4083.1840111659048</v>
      </c>
    </row>
    <row r="89" spans="1:11">
      <c r="A89" s="51">
        <v>2025</v>
      </c>
      <c r="B89" s="760">
        <f t="shared" si="5"/>
        <v>342.85860272624132</v>
      </c>
      <c r="C89" s="756">
        <f t="shared" si="5"/>
        <v>1396.9310969834896</v>
      </c>
      <c r="D89" s="756">
        <f t="shared" si="5"/>
        <v>625.87351834485287</v>
      </c>
      <c r="E89" s="756">
        <f t="shared" si="5"/>
        <v>1014.0930969864584</v>
      </c>
      <c r="F89" s="756">
        <f t="shared" si="5"/>
        <v>420.69938365920808</v>
      </c>
      <c r="G89" s="756">
        <f t="shared" si="5"/>
        <v>308.72457346808653</v>
      </c>
      <c r="H89" s="756">
        <f t="shared" si="5"/>
        <v>5.2818858464434015E-3</v>
      </c>
      <c r="I89" s="761">
        <f t="shared" si="5"/>
        <v>264.025190244729</v>
      </c>
      <c r="J89" s="756">
        <f t="shared" si="6"/>
        <v>4373.2107442989127</v>
      </c>
      <c r="K89" s="51">
        <f t="shared" si="7"/>
        <v>4166.0227497079677</v>
      </c>
    </row>
    <row r="90" spans="1:11">
      <c r="A90" s="51">
        <v>2026</v>
      </c>
      <c r="B90" s="760">
        <f t="shared" si="5"/>
        <v>360.63827547438865</v>
      </c>
      <c r="C90" s="756">
        <f t="shared" si="5"/>
        <v>1403.5940855847177</v>
      </c>
      <c r="D90" s="756">
        <f t="shared" si="5"/>
        <v>645.88013323848133</v>
      </c>
      <c r="E90" s="756">
        <f t="shared" si="5"/>
        <v>1032.5206618959458</v>
      </c>
      <c r="F90" s="756">
        <f t="shared" si="5"/>
        <v>434.41512786803344</v>
      </c>
      <c r="G90" s="756">
        <f t="shared" si="5"/>
        <v>317.6630904459862</v>
      </c>
      <c r="H90" s="756">
        <f t="shared" si="5"/>
        <v>5.2818858491718856E-3</v>
      </c>
      <c r="I90" s="761">
        <f t="shared" si="5"/>
        <v>264.65291453091055</v>
      </c>
      <c r="J90" s="756">
        <f t="shared" si="6"/>
        <v>4459.3695709243129</v>
      </c>
      <c r="K90" s="51">
        <f t="shared" si="7"/>
        <v>4247.8736737288164</v>
      </c>
    </row>
    <row r="91" spans="1:11">
      <c r="A91" s="51">
        <v>2027</v>
      </c>
      <c r="B91" s="760">
        <f t="shared" si="5"/>
        <v>378.80039762985996</v>
      </c>
      <c r="C91" s="756">
        <f t="shared" si="5"/>
        <v>1408.7058039426731</v>
      </c>
      <c r="D91" s="756">
        <f t="shared" si="5"/>
        <v>665.61625830260687</v>
      </c>
      <c r="E91" s="756">
        <f t="shared" si="5"/>
        <v>1047.4491924739948</v>
      </c>
      <c r="F91" s="756">
        <f t="shared" si="5"/>
        <v>447.73986107946291</v>
      </c>
      <c r="G91" s="756">
        <f t="shared" si="5"/>
        <v>326.55990774567823</v>
      </c>
      <c r="H91" s="756">
        <f t="shared" si="5"/>
        <v>5.2818858516729961E-3</v>
      </c>
      <c r="I91" s="761">
        <f t="shared" si="5"/>
        <v>265.360638531022</v>
      </c>
      <c r="J91" s="756">
        <f t="shared" si="6"/>
        <v>4540.2373415911507</v>
      </c>
      <c r="K91" s="51">
        <f t="shared" si="7"/>
        <v>4324.69809458903</v>
      </c>
    </row>
    <row r="92" spans="1:11">
      <c r="A92" s="51">
        <v>2028</v>
      </c>
      <c r="B92" s="760">
        <f t="shared" si="5"/>
        <v>397.31481668091698</v>
      </c>
      <c r="C92" s="756">
        <f t="shared" si="5"/>
        <v>1407.4297185889034</v>
      </c>
      <c r="D92" s="756">
        <f t="shared" si="5"/>
        <v>684.97003514930316</v>
      </c>
      <c r="E92" s="756">
        <f t="shared" si="5"/>
        <v>1058.3557392238745</v>
      </c>
      <c r="F92" s="756">
        <f t="shared" si="5"/>
        <v>460.63983373431347</v>
      </c>
      <c r="G92" s="756">
        <f t="shared" si="5"/>
        <v>335.40579859897235</v>
      </c>
      <c r="H92" s="756">
        <f t="shared" si="5"/>
        <v>5.2818858548562275E-3</v>
      </c>
      <c r="I92" s="761">
        <f t="shared" si="5"/>
        <v>266.1359573135752</v>
      </c>
      <c r="J92" s="756">
        <f t="shared" si="6"/>
        <v>4610.2571811757134</v>
      </c>
      <c r="K92" s="51">
        <f t="shared" si="7"/>
        <v>4391.2169809210818</v>
      </c>
    </row>
    <row r="93" spans="1:11">
      <c r="A93" s="51">
        <v>2029</v>
      </c>
      <c r="B93" s="760">
        <f t="shared" si="5"/>
        <v>416.14886622550989</v>
      </c>
      <c r="C93" s="756">
        <f t="shared" si="5"/>
        <v>1394.5154506498311</v>
      </c>
      <c r="D93" s="756">
        <f t="shared" si="5"/>
        <v>703.81483063313146</v>
      </c>
      <c r="E93" s="756">
        <f t="shared" si="5"/>
        <v>1064.6009800000866</v>
      </c>
      <c r="F93" s="756">
        <f t="shared" si="5"/>
        <v>473.08453880564718</v>
      </c>
      <c r="G93" s="756">
        <f t="shared" si="5"/>
        <v>344.18545553653337</v>
      </c>
      <c r="H93" s="756">
        <f t="shared" si="5"/>
        <v>5.2818858473528962E-3</v>
      </c>
      <c r="I93" s="761">
        <f t="shared" si="5"/>
        <v>266.9547975449421</v>
      </c>
      <c r="J93" s="756">
        <f t="shared" si="6"/>
        <v>4663.3102012815298</v>
      </c>
      <c r="K93" s="51">
        <f t="shared" si="7"/>
        <v>4441.6173887483328</v>
      </c>
    </row>
    <row r="94" spans="1:11">
      <c r="A94" s="51">
        <v>2030</v>
      </c>
      <c r="B94" s="760">
        <f t="shared" si="5"/>
        <v>435.26744599352332</v>
      </c>
      <c r="C94" s="756">
        <f t="shared" si="5"/>
        <v>1365.9369135238658</v>
      </c>
      <c r="D94" s="756">
        <f t="shared" si="5"/>
        <v>722.01038037955516</v>
      </c>
      <c r="E94" s="756">
        <f t="shared" si="5"/>
        <v>1065.411364149581</v>
      </c>
      <c r="F94" s="756">
        <f t="shared" si="5"/>
        <v>485.04658106498113</v>
      </c>
      <c r="G94" s="756">
        <f t="shared" si="5"/>
        <v>352.87677565311975</v>
      </c>
      <c r="H94" s="756">
        <f t="shared" si="5"/>
        <v>5.2818858498540067E-3</v>
      </c>
      <c r="I94" s="761">
        <f t="shared" si="5"/>
        <v>267.78244504037957</v>
      </c>
      <c r="J94" s="756">
        <f t="shared" si="6"/>
        <v>4694.3371876908559</v>
      </c>
      <c r="K94" s="51">
        <f t="shared" si="7"/>
        <v>4471.0930645639091</v>
      </c>
    </row>
    <row r="95" spans="1:11">
      <c r="A95" s="51">
        <v>2031</v>
      </c>
      <c r="B95" s="760">
        <f t="shared" si="5"/>
        <v>454.63311853866259</v>
      </c>
      <c r="C95" s="756">
        <f t="shared" si="5"/>
        <v>1318.0474251434448</v>
      </c>
      <c r="D95" s="756">
        <f t="shared" si="5"/>
        <v>739.40411211417961</v>
      </c>
      <c r="E95" s="756">
        <f t="shared" si="5"/>
        <v>1059.8925037408762</v>
      </c>
      <c r="F95" s="756">
        <f t="shared" si="5"/>
        <v>496.5014672351482</v>
      </c>
      <c r="G95" s="756">
        <f t="shared" si="5"/>
        <v>361.45032231452296</v>
      </c>
      <c r="H95" s="756">
        <f t="shared" si="5"/>
        <v>5.2818858532646118E-3</v>
      </c>
      <c r="I95" s="761">
        <f t="shared" si="5"/>
        <v>268.57472955918684</v>
      </c>
      <c r="J95" s="756">
        <f t="shared" si="6"/>
        <v>4698.5089605318735</v>
      </c>
      <c r="K95" s="51">
        <f t="shared" si="7"/>
        <v>4475.0562874895941</v>
      </c>
    </row>
    <row r="96" spans="1:11">
      <c r="A96" s="51">
        <v>2032</v>
      </c>
      <c r="B96" s="760">
        <f t="shared" si="5"/>
        <v>474.20622208959452</v>
      </c>
      <c r="C96" s="756">
        <f t="shared" si="5"/>
        <v>1249.5697318389853</v>
      </c>
      <c r="D96" s="756">
        <f t="shared" si="5"/>
        <v>755.83257652786517</v>
      </c>
      <c r="E96" s="756">
        <f t="shared" si="5"/>
        <v>1047.0819873680121</v>
      </c>
      <c r="F96" s="756">
        <f t="shared" si="5"/>
        <v>507.4273259606606</v>
      </c>
      <c r="G96" s="756">
        <f t="shared" si="5"/>
        <v>369.86898699055848</v>
      </c>
      <c r="H96" s="756">
        <f t="shared" si="5"/>
        <v>5.2818858455339068E-3</v>
      </c>
      <c r="I96" s="761">
        <f t="shared" si="5"/>
        <v>269.2793294407457</v>
      </c>
      <c r="J96" s="756">
        <f t="shared" si="6"/>
        <v>4673.2714421022674</v>
      </c>
      <c r="K96" s="51">
        <f t="shared" si="7"/>
        <v>4451.0806837081964</v>
      </c>
    </row>
    <row r="97" spans="1:11">
      <c r="A97" s="51">
        <v>2033</v>
      </c>
      <c r="B97" s="760">
        <f t="shared" si="5"/>
        <v>493.94499890386658</v>
      </c>
      <c r="C97" s="756">
        <f t="shared" si="5"/>
        <v>1159.9985310175382</v>
      </c>
      <c r="D97" s="756">
        <f t="shared" si="5"/>
        <v>771.12293927717269</v>
      </c>
      <c r="E97" s="756">
        <f t="shared" si="5"/>
        <v>1026.0428302834073</v>
      </c>
      <c r="F97" s="756">
        <f t="shared" si="5"/>
        <v>517.80456872590116</v>
      </c>
      <c r="G97" s="756">
        <f t="shared" si="5"/>
        <v>378.08786986284338</v>
      </c>
      <c r="H97" s="756">
        <f t="shared" si="5"/>
        <v>5.2818858487171383E-3</v>
      </c>
      <c r="I97" s="761">
        <f t="shared" si="5"/>
        <v>269.83716752775632</v>
      </c>
      <c r="J97" s="756">
        <f t="shared" si="6"/>
        <v>4616.8441874843338</v>
      </c>
      <c r="K97" s="51">
        <f t="shared" si="7"/>
        <v>4397.4748305478843</v>
      </c>
    </row>
    <row r="98" spans="1:11">
      <c r="A98" s="51">
        <v>2034</v>
      </c>
      <c r="B98" s="760">
        <f t="shared" si="5"/>
        <v>513.80573833441179</v>
      </c>
      <c r="C98" s="756">
        <f t="shared" si="5"/>
        <v>1052.3270432435393</v>
      </c>
      <c r="D98" s="756">
        <f t="shared" si="5"/>
        <v>785.09452240096778</v>
      </c>
      <c r="E98" s="756">
        <f t="shared" si="5"/>
        <v>995.98991723708002</v>
      </c>
      <c r="F98" s="756">
        <f t="shared" si="5"/>
        <v>527.61550473295461</v>
      </c>
      <c r="G98" s="756">
        <f t="shared" si="5"/>
        <v>386.05439237707634</v>
      </c>
      <c r="H98" s="756">
        <f t="shared" si="5"/>
        <v>5.2818858514456224E-3</v>
      </c>
      <c r="I98" s="761">
        <f t="shared" si="5"/>
        <v>270.1838784551523</v>
      </c>
      <c r="J98" s="756">
        <f t="shared" si="6"/>
        <v>4531.076278667033</v>
      </c>
      <c r="K98" s="51">
        <f t="shared" si="7"/>
        <v>4315.9953558981651</v>
      </c>
    </row>
    <row r="99" spans="1:11">
      <c r="A99" s="51">
        <v>2035</v>
      </c>
      <c r="B99" s="760">
        <f t="shared" si="5"/>
        <v>533.74293369386123</v>
      </c>
      <c r="C99" s="756">
        <f t="shared" si="5"/>
        <v>930.20636772327805</v>
      </c>
      <c r="D99" s="756">
        <f t="shared" si="5"/>
        <v>797.56042319089693</v>
      </c>
      <c r="E99" s="756">
        <f t="shared" si="5"/>
        <v>956.43289872020296</v>
      </c>
      <c r="F99" s="756">
        <f t="shared" si="5"/>
        <v>536.843924257259</v>
      </c>
      <c r="G99" s="756">
        <f t="shared" si="5"/>
        <v>393.70864911475155</v>
      </c>
      <c r="H99" s="756">
        <f t="shared" si="5"/>
        <v>5.2818858537193591E-3</v>
      </c>
      <c r="I99" s="761">
        <f t="shared" si="5"/>
        <v>270.25133508197291</v>
      </c>
      <c r="J99" s="756">
        <f t="shared" si="6"/>
        <v>4418.7518136680765</v>
      </c>
      <c r="K99" s="51">
        <f t="shared" si="7"/>
        <v>4209.2871528758687</v>
      </c>
    </row>
    <row r="100" spans="1:11">
      <c r="A100" s="51">
        <v>2036</v>
      </c>
      <c r="B100" s="760">
        <f t="shared" si="5"/>
        <v>553.70945189227564</v>
      </c>
      <c r="C100" s="756">
        <f t="shared" si="5"/>
        <v>798.79865952065893</v>
      </c>
      <c r="D100" s="756">
        <f t="shared" si="5"/>
        <v>808.32927846488258</v>
      </c>
      <c r="E100" s="756">
        <f t="shared" si="5"/>
        <v>907.31228375194985</v>
      </c>
      <c r="F100" s="756">
        <f t="shared" si="5"/>
        <v>545.47466607839567</v>
      </c>
      <c r="G100" s="756">
        <f t="shared" si="5"/>
        <v>400.98400036138327</v>
      </c>
      <c r="H100" s="756">
        <f t="shared" si="5"/>
        <v>5.2818858471255226E-3</v>
      </c>
      <c r="I100" s="761">
        <f t="shared" si="5"/>
        <v>269.96922795378356</v>
      </c>
      <c r="J100" s="756">
        <f t="shared" si="6"/>
        <v>4284.5828499091767</v>
      </c>
      <c r="K100" s="51">
        <f t="shared" si="7"/>
        <v>4081.8266760316401</v>
      </c>
    </row>
    <row r="101" spans="1:11">
      <c r="A101" s="51">
        <v>2037</v>
      </c>
      <c r="B101" s="760">
        <f t="shared" si="5"/>
        <v>573.65671472949509</v>
      </c>
      <c r="C101" s="756">
        <f t="shared" si="5"/>
        <v>664.62213361899626</v>
      </c>
      <c r="D101" s="756">
        <f t="shared" si="5"/>
        <v>817.20727658576243</v>
      </c>
      <c r="E101" s="756">
        <f t="shared" si="5"/>
        <v>849.10292792056475</v>
      </c>
      <c r="F101" s="756">
        <f t="shared" si="5"/>
        <v>553.49318520287864</v>
      </c>
      <c r="G101" s="756">
        <f t="shared" si="5"/>
        <v>407.80790065272595</v>
      </c>
      <c r="H101" s="756">
        <f t="shared" si="5"/>
        <v>5.281885849626633E-3</v>
      </c>
      <c r="I101" s="761">
        <f t="shared" si="5"/>
        <v>269.26669561316061</v>
      </c>
      <c r="J101" s="756">
        <f t="shared" si="6"/>
        <v>4135.1621162094334</v>
      </c>
      <c r="K101" s="51">
        <f t="shared" si="7"/>
        <v>3939.8770177436022</v>
      </c>
    </row>
    <row r="102" spans="1:11">
      <c r="A102" s="51">
        <v>2038</v>
      </c>
      <c r="B102" s="760">
        <f t="shared" si="5"/>
        <v>593.5348906428635</v>
      </c>
      <c r="C102" s="756">
        <f t="shared" si="5"/>
        <v>533.42934419024118</v>
      </c>
      <c r="D102" s="756">
        <f t="shared" si="5"/>
        <v>824.00054261319292</v>
      </c>
      <c r="E102" s="756">
        <f t="shared" si="5"/>
        <v>782.8619172856088</v>
      </c>
      <c r="F102" s="756">
        <f t="shared" si="5"/>
        <v>560.88513723009726</v>
      </c>
      <c r="G102" s="756">
        <f t="shared" si="5"/>
        <v>414.10295247772717</v>
      </c>
      <c r="H102" s="756">
        <f t="shared" si="5"/>
        <v>5.2818858521277434E-3</v>
      </c>
      <c r="I102" s="761">
        <f t="shared" si="5"/>
        <v>268.07400482506921</v>
      </c>
      <c r="J102" s="756">
        <f t="shared" si="6"/>
        <v>3976.8940711506521</v>
      </c>
      <c r="K102" s="51">
        <f t="shared" si="7"/>
        <v>3789.5224136644733</v>
      </c>
    </row>
    <row r="103" spans="1:11">
      <c r="A103" s="51">
        <v>2039</v>
      </c>
      <c r="B103" s="760">
        <f t="shared" si="5"/>
        <v>613.29309564861978</v>
      </c>
      <c r="C103" s="756">
        <f t="shared" si="5"/>
        <v>410.48767388880196</v>
      </c>
      <c r="D103" s="756">
        <f t="shared" si="5"/>
        <v>828.51802840578125</v>
      </c>
      <c r="E103" s="756">
        <f t="shared" si="5"/>
        <v>710.20591830664478</v>
      </c>
      <c r="F103" s="756">
        <f t="shared" si="5"/>
        <v>567.63599535654055</v>
      </c>
      <c r="G103" s="756">
        <f t="shared" si="5"/>
        <v>419.78816829677487</v>
      </c>
      <c r="H103" s="756">
        <f t="shared" si="5"/>
        <v>5.2818858455339068E-3</v>
      </c>
      <c r="I103" s="761">
        <f t="shared" si="5"/>
        <v>266.32427798792941</v>
      </c>
      <c r="J103" s="756">
        <f t="shared" si="6"/>
        <v>3816.2584397769378</v>
      </c>
      <c r="K103" s="51">
        <f t="shared" si="7"/>
        <v>3636.9186025861732</v>
      </c>
    </row>
    <row r="104" spans="1:11">
      <c r="A104" s="51">
        <v>2040</v>
      </c>
      <c r="B104" s="760">
        <f t="shared" si="5"/>
        <v>632.87960216795216</v>
      </c>
      <c r="C104" s="756">
        <f t="shared" si="5"/>
        <v>300.72914705648668</v>
      </c>
      <c r="D104" s="756">
        <f t="shared" si="5"/>
        <v>830.57502535005437</v>
      </c>
      <c r="E104" s="756">
        <f t="shared" si="5"/>
        <v>633.21496770499743</v>
      </c>
      <c r="F104" s="756">
        <f t="shared" si="5"/>
        <v>573.7307151697446</v>
      </c>
      <c r="G104" s="756">
        <f t="shared" si="5"/>
        <v>424.78041818322816</v>
      </c>
      <c r="H104" s="756">
        <f t="shared" si="5"/>
        <v>5.2818858480350173E-3</v>
      </c>
      <c r="I104" s="761">
        <f t="shared" si="5"/>
        <v>263.95526000340527</v>
      </c>
      <c r="J104" s="756">
        <f t="shared" si="6"/>
        <v>3659.8704175217167</v>
      </c>
      <c r="K104" s="51">
        <f t="shared" si="7"/>
        <v>3488.3500201704333</v>
      </c>
    </row>
    <row r="105" spans="1:11">
      <c r="A105" s="51">
        <v>2041</v>
      </c>
      <c r="B105" s="760">
        <f t="shared" si="5"/>
        <v>652.24205440025037</v>
      </c>
      <c r="C105" s="756">
        <f t="shared" si="5"/>
        <v>205.72519744410624</v>
      </c>
      <c r="D105" s="756">
        <f t="shared" si="5"/>
        <v>829.99738073821811</v>
      </c>
      <c r="E105" s="756">
        <f t="shared" si="5"/>
        <v>554.27291400780177</v>
      </c>
      <c r="F105" s="756">
        <f t="shared" si="5"/>
        <v>579.15346107597372</v>
      </c>
      <c r="G105" s="756">
        <f t="shared" si="5"/>
        <v>428.996034810124</v>
      </c>
      <c r="H105" s="756">
        <f t="shared" si="5"/>
        <v>5.281885850308754E-3</v>
      </c>
      <c r="I105" s="761">
        <f t="shared" si="5"/>
        <v>260.91110880068823</v>
      </c>
      <c r="J105" s="756">
        <f t="shared" si="6"/>
        <v>3511.3034331630124</v>
      </c>
      <c r="K105" s="51">
        <f t="shared" si="7"/>
        <v>3347.2114237563687</v>
      </c>
    </row>
    <row r="106" spans="1:11">
      <c r="A106" s="51">
        <v>2042</v>
      </c>
      <c r="B106" s="760">
        <f t="shared" si="5"/>
        <v>671.32768888990847</v>
      </c>
      <c r="C106" s="756">
        <f t="shared" si="5"/>
        <v>127.85774708610734</v>
      </c>
      <c r="D106" s="756">
        <f t="shared" si="5"/>
        <v>826.62644024734175</v>
      </c>
      <c r="E106" s="756">
        <f t="shared" si="5"/>
        <v>475.86634681339251</v>
      </c>
      <c r="F106" s="756">
        <f t="shared" si="5"/>
        <v>583.88740646350425</v>
      </c>
      <c r="G106" s="756">
        <f t="shared" si="5"/>
        <v>432.35254228894172</v>
      </c>
      <c r="H106" s="756">
        <f t="shared" si="5"/>
        <v>5.2818858539467328E-3</v>
      </c>
      <c r="I106" s="761">
        <f t="shared" si="5"/>
        <v>257.14418301817932</v>
      </c>
      <c r="J106" s="756">
        <f t="shared" si="6"/>
        <v>3375.0676366932289</v>
      </c>
      <c r="K106" s="51">
        <f t="shared" si="7"/>
        <v>3217.787455836808</v>
      </c>
    </row>
    <row r="107" spans="1:11">
      <c r="A107" s="51">
        <v>2043</v>
      </c>
      <c r="B107" s="760">
        <f t="shared" si="5"/>
        <v>690.08355893752594</v>
      </c>
      <c r="C107" s="756">
        <f t="shared" si="5"/>
        <v>65.911626095302609</v>
      </c>
      <c r="D107" s="756">
        <f t="shared" si="5"/>
        <v>820.32466190145567</v>
      </c>
      <c r="E107" s="756">
        <f t="shared" si="5"/>
        <v>400.37124112111314</v>
      </c>
      <c r="F107" s="756">
        <f t="shared" si="5"/>
        <v>587.91461757679497</v>
      </c>
      <c r="G107" s="756">
        <f t="shared" si="5"/>
        <v>434.77047064458202</v>
      </c>
      <c r="H107" s="756">
        <f t="shared" si="5"/>
        <v>5.2818858462160279E-3</v>
      </c>
      <c r="I107" s="761">
        <f t="shared" si="5"/>
        <v>252.616787880282</v>
      </c>
      <c r="J107" s="756">
        <f t="shared" si="6"/>
        <v>3251.9982460429028</v>
      </c>
      <c r="K107" s="51">
        <f t="shared" si="7"/>
        <v>3100.8715734457087</v>
      </c>
    </row>
    <row r="108" spans="1:11">
      <c r="A108" s="51">
        <v>2044</v>
      </c>
      <c r="B108" s="760">
        <f t="shared" si="5"/>
        <v>708.45676151757618</v>
      </c>
      <c r="C108" s="756">
        <f t="shared" si="5"/>
        <v>19.021589382278307</v>
      </c>
      <c r="D108" s="756">
        <f t="shared" si="5"/>
        <v>810.98175749365146</v>
      </c>
      <c r="E108" s="756">
        <f t="shared" si="5"/>
        <v>329.85810959452078</v>
      </c>
      <c r="F108" s="756">
        <f t="shared" si="5"/>
        <v>591.21602861949975</v>
      </c>
      <c r="G108" s="756">
        <f t="shared" si="5"/>
        <v>436.17521362247442</v>
      </c>
      <c r="H108" s="756">
        <f t="shared" si="5"/>
        <v>5.2818858487171383E-3</v>
      </c>
      <c r="I108" s="761">
        <f t="shared" si="5"/>
        <v>247.30282727423736</v>
      </c>
      <c r="J108" s="756">
        <f t="shared" si="6"/>
        <v>3143.0175693900869</v>
      </c>
      <c r="K108" s="51">
        <f t="shared" si="7"/>
        <v>2997.3399693522497</v>
      </c>
    </row>
    <row r="109" spans="1:11">
      <c r="A109" s="51">
        <v>2045</v>
      </c>
      <c r="B109" s="760">
        <f t="shared" si="5"/>
        <v>726.39466539816942</v>
      </c>
      <c r="C109" s="756">
        <f t="shared" si="5"/>
        <v>-14.481276433641824</v>
      </c>
      <c r="D109" s="756">
        <f t="shared" si="5"/>
        <v>798.52112421580341</v>
      </c>
      <c r="E109" s="756">
        <f t="shared" si="5"/>
        <v>265.94203519964822</v>
      </c>
      <c r="F109" s="756">
        <f t="shared" si="5"/>
        <v>593.77151288418077</v>
      </c>
      <c r="G109" s="756">
        <f t="shared" si="5"/>
        <v>436.49888422480774</v>
      </c>
      <c r="H109" s="756">
        <f t="shared" si="5"/>
        <v>5.2818858519003697E-3</v>
      </c>
      <c r="I109" s="761">
        <f t="shared" si="5"/>
        <v>241.18929793879821</v>
      </c>
      <c r="J109" s="756">
        <f t="shared" si="6"/>
        <v>3047.8415253136177</v>
      </c>
      <c r="K109" s="51">
        <f t="shared" si="7"/>
        <v>2906.9227662063195</v>
      </c>
    </row>
    <row r="110" spans="1:11">
      <c r="A110" s="51">
        <v>2046</v>
      </c>
      <c r="B110" s="760">
        <f t="shared" si="5"/>
        <v>743.84513919392464</v>
      </c>
      <c r="C110" s="756">
        <f t="shared" si="5"/>
        <v>-38.194699354270824</v>
      </c>
      <c r="D110" s="756">
        <f t="shared" si="5"/>
        <v>782.90624226360978</v>
      </c>
      <c r="E110" s="756">
        <f t="shared" si="5"/>
        <v>209.69481538488412</v>
      </c>
      <c r="F110" s="756">
        <f t="shared" si="5"/>
        <v>595.56005180034265</v>
      </c>
      <c r="G110" s="756">
        <f t="shared" si="5"/>
        <v>435.68212003375618</v>
      </c>
      <c r="H110" s="756">
        <f t="shared" si="5"/>
        <v>5.2818858446244121E-3</v>
      </c>
      <c r="I110" s="761">
        <f t="shared" si="5"/>
        <v>234.27755219954338</v>
      </c>
      <c r="J110" s="756">
        <f t="shared" si="6"/>
        <v>2963.7765034076347</v>
      </c>
      <c r="K110" s="51">
        <f t="shared" si="7"/>
        <v>2827.0610341223628</v>
      </c>
    </row>
    <row r="111" spans="1:11">
      <c r="A111" s="51">
        <v>2047</v>
      </c>
      <c r="B111" s="760">
        <f t="shared" si="5"/>
        <v>760.75677813422419</v>
      </c>
      <c r="C111" s="756">
        <f t="shared" si="5"/>
        <v>-53.791779929382528</v>
      </c>
      <c r="D111" s="756">
        <f t="shared" si="5"/>
        <v>764.14664405130952</v>
      </c>
      <c r="E111" s="756">
        <f t="shared" si="5"/>
        <v>161.62487174818193</v>
      </c>
      <c r="F111" s="756">
        <f t="shared" si="5"/>
        <v>596.56000077649583</v>
      </c>
      <c r="G111" s="756">
        <f t="shared" si="5"/>
        <v>433.67578917348584</v>
      </c>
      <c r="H111" s="756">
        <f t="shared" si="5"/>
        <v>5.2818858471255226E-3</v>
      </c>
      <c r="I111" s="761">
        <f t="shared" si="5"/>
        <v>226.58425050286183</v>
      </c>
      <c r="J111" s="756">
        <f t="shared" si="6"/>
        <v>2889.561836343024</v>
      </c>
      <c r="K111" s="51">
        <f t="shared" si="7"/>
        <v>2756.5571391376952</v>
      </c>
    </row>
    <row r="112" spans="1:11">
      <c r="A112" s="51">
        <v>2048</v>
      </c>
      <c r="B112" s="760">
        <f t="shared" si="5"/>
        <v>777.07912838485151</v>
      </c>
      <c r="C112" s="756">
        <f t="shared" si="5"/>
        <v>-63.362819234361723</v>
      </c>
      <c r="D112" s="756">
        <f t="shared" si="5"/>
        <v>742.3030172788915</v>
      </c>
      <c r="E112" s="756">
        <f t="shared" si="5"/>
        <v>121.71920976603019</v>
      </c>
      <c r="F112" s="756">
        <f t="shared" si="5"/>
        <v>596.7494476777473</v>
      </c>
      <c r="G112" s="756">
        <f t="shared" si="5"/>
        <v>430.44254785416024</v>
      </c>
      <c r="H112" s="756">
        <f t="shared" si="5"/>
        <v>5.281885850308754E-3</v>
      </c>
      <c r="I112" s="761">
        <f t="shared" si="5"/>
        <v>218.14192558136631</v>
      </c>
      <c r="J112" s="756">
        <f t="shared" si="6"/>
        <v>2823.0777391945353</v>
      </c>
      <c r="K112" s="51">
        <f t="shared" si="7"/>
        <v>2693.39728557335</v>
      </c>
    </row>
    <row r="113" spans="1:11">
      <c r="A113" s="51">
        <v>2049</v>
      </c>
      <c r="B113" s="760">
        <f t="shared" si="5"/>
        <v>792.76290782404021</v>
      </c>
      <c r="C113" s="756">
        <f t="shared" si="5"/>
        <v>-68.789608390067087</v>
      </c>
      <c r="D113" s="756">
        <f t="shared" si="5"/>
        <v>717.49099539308031</v>
      </c>
      <c r="E113" s="756">
        <f t="shared" si="5"/>
        <v>89.532853619267371</v>
      </c>
      <c r="F113" s="756">
        <f t="shared" si="5"/>
        <v>596.10665680783154</v>
      </c>
      <c r="G113" s="756">
        <f t="shared" si="5"/>
        <v>425.95820197755711</v>
      </c>
      <c r="H113" s="756">
        <f t="shared" si="5"/>
        <v>5.2818858525824908E-3</v>
      </c>
      <c r="I113" s="761">
        <f t="shared" si="5"/>
        <v>208.99908747663127</v>
      </c>
      <c r="J113" s="756">
        <f t="shared" si="6"/>
        <v>2762.0663765941936</v>
      </c>
      <c r="K113" s="51">
        <f t="shared" si="7"/>
        <v>2635.4365298297489</v>
      </c>
    </row>
    <row r="114" spans="1:11" ht="16.2" thickBot="1">
      <c r="A114" s="51">
        <v>2050</v>
      </c>
      <c r="B114" s="762">
        <f t="shared" si="5"/>
        <v>807.76022223795189</v>
      </c>
      <c r="C114" s="763">
        <f t="shared" si="5"/>
        <v>-71.122733848303142</v>
      </c>
      <c r="D114" s="763">
        <f t="shared" si="5"/>
        <v>689.8832198650955</v>
      </c>
      <c r="E114" s="763">
        <f t="shared" si="5"/>
        <v>64.306261161481189</v>
      </c>
      <c r="F114" s="763">
        <f t="shared" si="5"/>
        <v>594.61058844654895</v>
      </c>
      <c r="G114" s="763">
        <f t="shared" si="5"/>
        <v>420.21282837124249</v>
      </c>
      <c r="H114" s="763">
        <f t="shared" si="5"/>
        <v>5.2818858450791595E-3</v>
      </c>
      <c r="I114" s="764">
        <f t="shared" si="5"/>
        <v>199.2198132961139</v>
      </c>
      <c r="J114" s="756">
        <f t="shared" si="6"/>
        <v>2704.8754814159756</v>
      </c>
      <c r="K114" s="51">
        <f t="shared" si="7"/>
        <v>2581.1052181371761</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3DBF-B5CE-47E1-B610-00F880BB4C6B}">
  <dimension ref="A1:W41"/>
  <sheetViews>
    <sheetView workbookViewId="0">
      <selection activeCell="N28" sqref="N28"/>
    </sheetView>
  </sheetViews>
  <sheetFormatPr defaultColWidth="8" defaultRowHeight="13.8"/>
  <cols>
    <col min="1" max="1" width="22.5" style="807" customWidth="1"/>
    <col min="2" max="2" width="8.8984375" style="807" customWidth="1"/>
    <col min="3" max="16384" width="8" style="807"/>
  </cols>
  <sheetData>
    <row r="1" spans="1:23" ht="15.6">
      <c r="A1" s="805">
        <v>2020</v>
      </c>
      <c r="B1" s="805"/>
      <c r="C1" s="806" t="s">
        <v>37</v>
      </c>
      <c r="D1" s="806" t="s">
        <v>154</v>
      </c>
      <c r="E1" s="806" t="s">
        <v>155</v>
      </c>
      <c r="F1" s="806" t="s">
        <v>40</v>
      </c>
      <c r="G1" s="806" t="s">
        <v>41</v>
      </c>
      <c r="H1" s="806" t="s">
        <v>42</v>
      </c>
      <c r="I1" s="806" t="s">
        <v>43</v>
      </c>
      <c r="J1" s="806" t="s">
        <v>44</v>
      </c>
      <c r="N1" s="806"/>
      <c r="O1" s="805"/>
      <c r="P1" s="806" t="s">
        <v>37</v>
      </c>
      <c r="Q1" s="806" t="s">
        <v>154</v>
      </c>
      <c r="R1" s="806" t="s">
        <v>155</v>
      </c>
      <c r="S1" s="806" t="s">
        <v>40</v>
      </c>
      <c r="T1" s="806" t="s">
        <v>41</v>
      </c>
      <c r="U1" s="806" t="s">
        <v>42</v>
      </c>
      <c r="V1" s="806" t="s">
        <v>43</v>
      </c>
      <c r="W1" s="806" t="s">
        <v>44</v>
      </c>
    </row>
    <row r="2" spans="1:23" ht="15.6">
      <c r="A2" s="806" t="s">
        <v>283</v>
      </c>
      <c r="B2" s="806" t="s">
        <v>28</v>
      </c>
      <c r="C2" s="806" t="s">
        <v>13</v>
      </c>
      <c r="D2" s="806" t="s">
        <v>14</v>
      </c>
      <c r="E2" s="806" t="s">
        <v>15</v>
      </c>
      <c r="F2" s="806" t="s">
        <v>16</v>
      </c>
      <c r="G2" s="806" t="s">
        <v>17</v>
      </c>
      <c r="H2" s="806" t="s">
        <v>18</v>
      </c>
      <c r="I2" s="806" t="s">
        <v>19</v>
      </c>
      <c r="J2" s="806" t="s">
        <v>20</v>
      </c>
      <c r="N2" s="806"/>
      <c r="O2" s="806" t="s">
        <v>28</v>
      </c>
      <c r="P2" s="806" t="s">
        <v>13</v>
      </c>
      <c r="Q2" s="806" t="s">
        <v>14</v>
      </c>
      <c r="R2" s="806" t="s">
        <v>15</v>
      </c>
      <c r="S2" s="806" t="s">
        <v>16</v>
      </c>
      <c r="T2" s="806" t="s">
        <v>17</v>
      </c>
      <c r="U2" s="806" t="s">
        <v>18</v>
      </c>
      <c r="V2" s="806" t="s">
        <v>19</v>
      </c>
      <c r="W2" s="806" t="s">
        <v>20</v>
      </c>
    </row>
    <row r="3" spans="1:23" ht="15.6">
      <c r="A3" s="806" t="s">
        <v>152</v>
      </c>
      <c r="B3" s="806" t="s">
        <v>7</v>
      </c>
      <c r="C3" s="814" cm="1">
        <f t="array" ref="C3:J9">downstream!O26:V32</f>
        <v>0.83566056686509393</v>
      </c>
      <c r="D3" s="814">
        <v>0.66475546407919206</v>
      </c>
      <c r="E3" s="814">
        <v>0.66028572282494968</v>
      </c>
      <c r="F3" s="814">
        <v>0.79068274720448628</v>
      </c>
      <c r="G3" s="814">
        <v>0.77133562954458457</v>
      </c>
      <c r="H3" s="814">
        <v>0.76979307242465123</v>
      </c>
      <c r="I3" s="814">
        <v>0.84215641569282729</v>
      </c>
      <c r="J3" s="814">
        <v>0.77120315581854026</v>
      </c>
      <c r="N3" s="806" t="s">
        <v>152</v>
      </c>
      <c r="O3" s="806" t="s">
        <v>7</v>
      </c>
      <c r="P3" s="815" cm="1">
        <f t="array" ref="P3:W9">downstream!O14:V20</f>
        <v>0.38838304552590264</v>
      </c>
      <c r="Q3" s="815">
        <v>0.35764235764235769</v>
      </c>
      <c r="R3" s="815">
        <v>0.45119139123750956</v>
      </c>
      <c r="S3" s="815">
        <v>0.47496871088861081</v>
      </c>
      <c r="T3" s="815">
        <v>0.17339544513457558</v>
      </c>
      <c r="U3" s="815">
        <v>0.34316676700782661</v>
      </c>
      <c r="V3" s="815">
        <v>0.99979867123011879</v>
      </c>
      <c r="W3" s="815">
        <v>9.4614264919941779E-2</v>
      </c>
    </row>
    <row r="4" spans="1:23" ht="15.6">
      <c r="A4" s="806" t="s">
        <v>57</v>
      </c>
      <c r="B4" s="806" t="s">
        <v>8</v>
      </c>
      <c r="C4" s="814">
        <v>0.95057034220532299</v>
      </c>
      <c r="D4" s="814">
        <v>0.95057034220532299</v>
      </c>
      <c r="E4" s="814">
        <v>0.95057034220532299</v>
      </c>
      <c r="F4" s="814">
        <v>0.95057034220532299</v>
      </c>
      <c r="G4" s="814">
        <v>0.95057034220532299</v>
      </c>
      <c r="H4" s="814">
        <v>0.95057034220532299</v>
      </c>
      <c r="I4" s="814">
        <v>0.95057034220532299</v>
      </c>
      <c r="J4" s="814">
        <v>0.95057034220532299</v>
      </c>
      <c r="N4" s="806" t="s">
        <v>57</v>
      </c>
      <c r="O4" s="806" t="s">
        <v>8</v>
      </c>
      <c r="P4" s="815">
        <v>0.59152276295133444</v>
      </c>
      <c r="Q4" s="815">
        <v>0.10149850149850149</v>
      </c>
      <c r="R4" s="815">
        <v>0.32513451191391235</v>
      </c>
      <c r="S4" s="815">
        <v>0.29474342928660824</v>
      </c>
      <c r="T4" s="815">
        <v>0.2432712215320911</v>
      </c>
      <c r="U4" s="815">
        <v>0.28236002408187838</v>
      </c>
      <c r="V4" s="815">
        <v>0</v>
      </c>
      <c r="W4" s="815">
        <v>0.11499272197962154</v>
      </c>
    </row>
    <row r="5" spans="1:23" ht="15.6">
      <c r="A5" s="806" t="s">
        <v>113</v>
      </c>
      <c r="B5" s="806" t="s">
        <v>9</v>
      </c>
      <c r="C5" s="814">
        <v>0.95057034220532299</v>
      </c>
      <c r="D5" s="814">
        <v>0.95057034220532299</v>
      </c>
      <c r="E5" s="814">
        <v>0.95057034220532299</v>
      </c>
      <c r="F5" s="814">
        <v>0.95057034220532299</v>
      </c>
      <c r="G5" s="814">
        <v>0.95057034220532299</v>
      </c>
      <c r="H5" s="814">
        <v>0.95057034220532299</v>
      </c>
      <c r="I5" s="814">
        <v>0.95057034220532299</v>
      </c>
      <c r="J5" s="814">
        <v>0.95057034220532299</v>
      </c>
      <c r="N5" s="806" t="s">
        <v>113</v>
      </c>
      <c r="O5" s="806" t="s">
        <v>9</v>
      </c>
      <c r="P5" s="815">
        <v>8.7912087912087912E-3</v>
      </c>
      <c r="Q5" s="815">
        <v>7.992007992007992E-4</v>
      </c>
      <c r="R5" s="815">
        <v>5.3804765564950041E-3</v>
      </c>
      <c r="S5" s="815">
        <v>3.1289111389236545E-3</v>
      </c>
      <c r="T5" s="815">
        <v>0.46946169772256729</v>
      </c>
      <c r="U5" s="815">
        <v>8.4286574352799518E-3</v>
      </c>
      <c r="V5" s="815">
        <v>2.0132876988121604E-4</v>
      </c>
      <c r="W5" s="815">
        <v>7.2780203784570596E-3</v>
      </c>
    </row>
    <row r="6" spans="1:23" ht="15.6">
      <c r="A6" s="806" t="s">
        <v>141</v>
      </c>
      <c r="B6" s="806" t="s">
        <v>78</v>
      </c>
      <c r="C6" s="814">
        <v>0</v>
      </c>
      <c r="D6" s="814">
        <v>0.95057034220532299</v>
      </c>
      <c r="E6" s="814">
        <v>0.95057034220532299</v>
      </c>
      <c r="F6" s="814">
        <v>0.95057034220532299</v>
      </c>
      <c r="G6" s="814">
        <v>0.95057034220532299</v>
      </c>
      <c r="H6" s="814">
        <v>0.95057034220532299</v>
      </c>
      <c r="I6" s="814">
        <v>0</v>
      </c>
      <c r="J6" s="814">
        <v>0.99679622588367833</v>
      </c>
      <c r="N6" s="806" t="s">
        <v>141</v>
      </c>
      <c r="O6" s="806" t="s">
        <v>78</v>
      </c>
      <c r="P6" s="815">
        <v>0</v>
      </c>
      <c r="Q6" s="815">
        <v>1.4585414585414586E-2</v>
      </c>
      <c r="R6" s="815">
        <v>5.4189085318985399E-2</v>
      </c>
      <c r="S6" s="815">
        <v>1.1264080100125156E-2</v>
      </c>
      <c r="T6" s="815">
        <v>5.1759834368530024E-4</v>
      </c>
      <c r="U6" s="815">
        <v>6.020469596628537E-3</v>
      </c>
      <c r="V6" s="815">
        <v>0</v>
      </c>
      <c r="W6" s="815">
        <v>0.15720524017467249</v>
      </c>
    </row>
    <row r="7" spans="1:23" ht="15.6">
      <c r="A7" s="806" t="s">
        <v>149</v>
      </c>
      <c r="B7" s="806" t="s">
        <v>10</v>
      </c>
      <c r="C7" s="814">
        <v>1</v>
      </c>
      <c r="D7" s="814">
        <v>1</v>
      </c>
      <c r="E7" s="814">
        <v>1</v>
      </c>
      <c r="F7" s="814">
        <v>1</v>
      </c>
      <c r="G7" s="814">
        <v>1</v>
      </c>
      <c r="H7" s="814">
        <v>1</v>
      </c>
      <c r="I7" s="814">
        <v>1</v>
      </c>
      <c r="J7" s="814">
        <v>1</v>
      </c>
      <c r="N7" s="806" t="s">
        <v>149</v>
      </c>
      <c r="O7" s="806" t="s">
        <v>10</v>
      </c>
      <c r="P7" s="815">
        <v>5.6527230563067224E-3</v>
      </c>
      <c r="Q7" s="815">
        <v>0.26279452390557262</v>
      </c>
      <c r="R7" s="815">
        <v>8.2070150023079061E-2</v>
      </c>
      <c r="S7" s="815">
        <v>0.10797096044267547</v>
      </c>
      <c r="T7" s="815">
        <v>5.6689370868124332E-2</v>
      </c>
      <c r="U7" s="815">
        <v>0.18005127290677425</v>
      </c>
      <c r="V7" s="815">
        <v>0</v>
      </c>
      <c r="W7" s="815">
        <v>0.31302308190865569</v>
      </c>
    </row>
    <row r="8" spans="1:23" ht="15.6">
      <c r="A8" s="806" t="s">
        <v>115</v>
      </c>
      <c r="B8" s="806" t="s">
        <v>11</v>
      </c>
      <c r="C8" s="814">
        <v>1</v>
      </c>
      <c r="D8" s="814">
        <v>1</v>
      </c>
      <c r="E8" s="814">
        <v>1</v>
      </c>
      <c r="F8" s="814">
        <v>1</v>
      </c>
      <c r="G8" s="814">
        <v>1</v>
      </c>
      <c r="H8" s="814">
        <v>1</v>
      </c>
      <c r="I8" s="814">
        <v>1</v>
      </c>
      <c r="J8" s="814">
        <v>1</v>
      </c>
      <c r="N8" s="806" t="s">
        <v>115</v>
      </c>
      <c r="O8" s="806" t="s">
        <v>11</v>
      </c>
      <c r="P8" s="815">
        <v>3.8767946171032329E-3</v>
      </c>
      <c r="Q8" s="815">
        <v>0.18023179015371341</v>
      </c>
      <c r="R8" s="815">
        <v>5.6285990427100002E-2</v>
      </c>
      <c r="S8" s="815">
        <v>7.4049486252580649E-2</v>
      </c>
      <c r="T8" s="815">
        <v>3.8879146499723391E-2</v>
      </c>
      <c r="U8" s="815">
        <v>0.12348416836533097</v>
      </c>
      <c r="V8" s="815">
        <v>0</v>
      </c>
      <c r="W8" s="815">
        <v>0.21467993158069434</v>
      </c>
    </row>
    <row r="9" spans="1:23" ht="15.6">
      <c r="A9" s="806" t="s">
        <v>148</v>
      </c>
      <c r="B9" s="806" t="s">
        <v>12</v>
      </c>
      <c r="C9" s="814">
        <v>1</v>
      </c>
      <c r="D9" s="814">
        <v>1</v>
      </c>
      <c r="E9" s="814">
        <v>1</v>
      </c>
      <c r="F9" s="814">
        <v>1</v>
      </c>
      <c r="G9" s="814">
        <v>1</v>
      </c>
      <c r="H9" s="814">
        <v>1</v>
      </c>
      <c r="I9" s="814">
        <v>1</v>
      </c>
      <c r="J9" s="814">
        <v>1</v>
      </c>
      <c r="N9" s="806" t="s">
        <v>148</v>
      </c>
      <c r="O9" s="806" t="s">
        <v>12</v>
      </c>
      <c r="P9" s="815">
        <v>1.7734650581442046E-3</v>
      </c>
      <c r="Q9" s="815">
        <v>8.2448211415239406E-2</v>
      </c>
      <c r="R9" s="815">
        <v>2.5748394522918563E-2</v>
      </c>
      <c r="S9" s="815">
        <v>3.3874421890476042E-2</v>
      </c>
      <c r="T9" s="815">
        <v>1.7785519899233021E-2</v>
      </c>
      <c r="U9" s="815">
        <v>5.6488640606281303E-2</v>
      </c>
      <c r="V9" s="815">
        <v>0</v>
      </c>
      <c r="W9" s="815">
        <v>9.8206739057957126E-2</v>
      </c>
    </row>
    <row r="10" spans="1:23" ht="15.6">
      <c r="A10" s="808" t="s">
        <v>343</v>
      </c>
      <c r="B10" s="808"/>
      <c r="C10" s="812">
        <f>SUMPRODUCT(C3:C9,P3:P9)</f>
        <v>0.90650003626646747</v>
      </c>
      <c r="D10" s="812">
        <f t="shared" ref="D10:J10" si="0">SUMPRODUCT(D3:D9,Q3:Q9)</f>
        <v>0.87432486131705645</v>
      </c>
      <c r="E10" s="812">
        <f t="shared" si="0"/>
        <v>0.82770805193851615</v>
      </c>
      <c r="F10" s="812">
        <f t="shared" si="0"/>
        <v>0.88530034679451486</v>
      </c>
      <c r="G10" s="812">
        <f t="shared" si="0"/>
        <v>0.92509491069170335</v>
      </c>
      <c r="H10" s="812">
        <f t="shared" si="0"/>
        <v>0.90632945815127952</v>
      </c>
      <c r="I10" s="812">
        <f t="shared" si="0"/>
        <v>0.84217824253529006</v>
      </c>
      <c r="J10" s="812">
        <f t="shared" si="0"/>
        <v>0.97180510373928608</v>
      </c>
    </row>
    <row r="15" spans="1:23" ht="15.6">
      <c r="A15" s="805">
        <v>2050</v>
      </c>
      <c r="B15" s="805"/>
      <c r="C15" s="806" t="s">
        <v>37</v>
      </c>
      <c r="D15" s="806" t="s">
        <v>154</v>
      </c>
      <c r="E15" s="806" t="s">
        <v>155</v>
      </c>
      <c r="F15" s="806" t="s">
        <v>40</v>
      </c>
      <c r="G15" s="806" t="s">
        <v>41</v>
      </c>
      <c r="H15" s="806" t="s">
        <v>42</v>
      </c>
      <c r="I15" s="806" t="s">
        <v>43</v>
      </c>
      <c r="J15" s="806" t="s">
        <v>44</v>
      </c>
    </row>
    <row r="16" spans="1:23" ht="15.6">
      <c r="A16" s="806" t="s">
        <v>283</v>
      </c>
      <c r="B16" s="806" t="s">
        <v>28</v>
      </c>
      <c r="C16" s="806" t="s">
        <v>13</v>
      </c>
      <c r="D16" s="806" t="s">
        <v>14</v>
      </c>
      <c r="E16" s="806" t="s">
        <v>15</v>
      </c>
      <c r="F16" s="806" t="s">
        <v>16</v>
      </c>
      <c r="G16" s="806" t="s">
        <v>17</v>
      </c>
      <c r="H16" s="806" t="s">
        <v>18</v>
      </c>
      <c r="I16" s="806" t="s">
        <v>19</v>
      </c>
      <c r="J16" s="806" t="s">
        <v>20</v>
      </c>
    </row>
    <row r="17" spans="1:10" ht="15.6">
      <c r="A17" s="806" t="s">
        <v>152</v>
      </c>
      <c r="B17" s="806" t="s">
        <v>7</v>
      </c>
      <c r="C17" s="810">
        <f>0.9</f>
        <v>0.9</v>
      </c>
      <c r="D17" s="810">
        <v>0.76</v>
      </c>
      <c r="E17" s="810">
        <v>0.76</v>
      </c>
      <c r="F17" s="810">
        <v>0.9</v>
      </c>
      <c r="G17" s="810">
        <v>0.9</v>
      </c>
      <c r="H17" s="810">
        <v>0.9</v>
      </c>
      <c r="I17" s="810">
        <v>0.9</v>
      </c>
      <c r="J17" s="810">
        <v>0.9</v>
      </c>
    </row>
    <row r="18" spans="1:10" ht="15.6">
      <c r="A18" s="806" t="s">
        <v>57</v>
      </c>
      <c r="B18" s="806" t="s">
        <v>8</v>
      </c>
      <c r="C18" s="813">
        <f>C4</f>
        <v>0.95057034220532299</v>
      </c>
      <c r="D18" s="813">
        <f t="shared" ref="D18:J20" si="1">D4</f>
        <v>0.95057034220532299</v>
      </c>
      <c r="E18" s="813">
        <f t="shared" si="1"/>
        <v>0.95057034220532299</v>
      </c>
      <c r="F18" s="813">
        <f t="shared" si="1"/>
        <v>0.95057034220532299</v>
      </c>
      <c r="G18" s="813">
        <f t="shared" si="1"/>
        <v>0.95057034220532299</v>
      </c>
      <c r="H18" s="813">
        <f t="shared" si="1"/>
        <v>0.95057034220532299</v>
      </c>
      <c r="I18" s="813">
        <f t="shared" si="1"/>
        <v>0.95057034220532299</v>
      </c>
      <c r="J18" s="813">
        <f t="shared" si="1"/>
        <v>0.95057034220532299</v>
      </c>
    </row>
    <row r="19" spans="1:10" ht="15.6">
      <c r="A19" s="806" t="s">
        <v>113</v>
      </c>
      <c r="B19" s="806" t="s">
        <v>9</v>
      </c>
      <c r="C19" s="813">
        <f>C5</f>
        <v>0.95057034220532299</v>
      </c>
      <c r="D19" s="813">
        <f t="shared" si="1"/>
        <v>0.95057034220532299</v>
      </c>
      <c r="E19" s="813">
        <f t="shared" si="1"/>
        <v>0.95057034220532299</v>
      </c>
      <c r="F19" s="813">
        <f t="shared" si="1"/>
        <v>0.95057034220532299</v>
      </c>
      <c r="G19" s="813">
        <f t="shared" si="1"/>
        <v>0.95057034220532299</v>
      </c>
      <c r="H19" s="813">
        <f t="shared" si="1"/>
        <v>0.95057034220532299</v>
      </c>
      <c r="I19" s="813">
        <f t="shared" si="1"/>
        <v>0.95057034220532299</v>
      </c>
      <c r="J19" s="813">
        <f t="shared" si="1"/>
        <v>0.95057034220532299</v>
      </c>
    </row>
    <row r="20" spans="1:10" ht="15.6">
      <c r="A20" s="806" t="s">
        <v>141</v>
      </c>
      <c r="B20" s="806" t="s">
        <v>78</v>
      </c>
      <c r="C20" s="811">
        <f>C6</f>
        <v>0</v>
      </c>
      <c r="D20" s="813">
        <f>D6</f>
        <v>0.95057034220532299</v>
      </c>
      <c r="E20" s="813">
        <f t="shared" si="1"/>
        <v>0.95057034220532299</v>
      </c>
      <c r="F20" s="813">
        <f t="shared" si="1"/>
        <v>0.95057034220532299</v>
      </c>
      <c r="G20" s="813">
        <f t="shared" si="1"/>
        <v>0.95057034220532299</v>
      </c>
      <c r="H20" s="813">
        <f t="shared" si="1"/>
        <v>0.95057034220532299</v>
      </c>
      <c r="I20" s="811">
        <f>I6</f>
        <v>0</v>
      </c>
      <c r="J20" s="813">
        <f>J6</f>
        <v>0.99679622588367833</v>
      </c>
    </row>
    <row r="21" spans="1:10" ht="15.6">
      <c r="A21" s="806" t="s">
        <v>149</v>
      </c>
      <c r="B21" s="806" t="s">
        <v>10</v>
      </c>
      <c r="C21" s="813">
        <v>1</v>
      </c>
      <c r="D21" s="813">
        <v>1</v>
      </c>
      <c r="E21" s="813">
        <v>1</v>
      </c>
      <c r="F21" s="813">
        <v>1</v>
      </c>
      <c r="G21" s="813">
        <v>1</v>
      </c>
      <c r="H21" s="813">
        <v>1</v>
      </c>
      <c r="I21" s="813">
        <v>1</v>
      </c>
      <c r="J21" s="813">
        <v>1</v>
      </c>
    </row>
    <row r="22" spans="1:10" ht="15.6">
      <c r="A22" s="806" t="s">
        <v>115</v>
      </c>
      <c r="B22" s="806" t="s">
        <v>11</v>
      </c>
      <c r="C22" s="813">
        <v>1</v>
      </c>
      <c r="D22" s="813">
        <v>1</v>
      </c>
      <c r="E22" s="813">
        <v>1</v>
      </c>
      <c r="F22" s="813">
        <v>1</v>
      </c>
      <c r="G22" s="813">
        <v>1</v>
      </c>
      <c r="H22" s="813">
        <v>1</v>
      </c>
      <c r="I22" s="813">
        <v>1</v>
      </c>
      <c r="J22" s="813">
        <v>1</v>
      </c>
    </row>
    <row r="23" spans="1:10" ht="15.6">
      <c r="A23" s="806" t="s">
        <v>148</v>
      </c>
      <c r="B23" s="806" t="s">
        <v>12</v>
      </c>
      <c r="C23" s="813">
        <v>1</v>
      </c>
      <c r="D23" s="813">
        <v>1</v>
      </c>
      <c r="E23" s="813">
        <v>1</v>
      </c>
      <c r="F23" s="813">
        <v>1</v>
      </c>
      <c r="G23" s="813">
        <v>1</v>
      </c>
      <c r="H23" s="813">
        <v>1</v>
      </c>
      <c r="I23" s="813">
        <v>1</v>
      </c>
      <c r="J23" s="813">
        <v>1</v>
      </c>
    </row>
    <row r="24" spans="1:10" ht="15.6">
      <c r="A24" s="808" t="s">
        <v>343</v>
      </c>
      <c r="B24" s="808"/>
      <c r="C24" s="809">
        <f>SUMPRODUCT(C17:C23,P3:P9)</f>
        <v>0.93148838125481248</v>
      </c>
      <c r="D24" s="809">
        <f t="shared" ref="D24:J24" si="2">SUMPRODUCT(D17:D23,Q3:Q9)</f>
        <v>0.90838834169632632</v>
      </c>
      <c r="E24" s="809">
        <f t="shared" si="2"/>
        <v>0.87269827538336975</v>
      </c>
      <c r="F24" s="809">
        <f t="shared" si="2"/>
        <v>0.93722262143268442</v>
      </c>
      <c r="G24" s="809">
        <f t="shared" si="2"/>
        <v>0.94740472647978013</v>
      </c>
      <c r="H24" s="809">
        <f t="shared" si="2"/>
        <v>0.95101214852933424</v>
      </c>
      <c r="I24" s="809">
        <f t="shared" si="2"/>
        <v>0.90001018126478871</v>
      </c>
      <c r="J24" s="809">
        <f t="shared" si="2"/>
        <v>0.98399112247552312</v>
      </c>
    </row>
    <row r="27" spans="1:10" ht="14.4" thickBot="1">
      <c r="A27" s="825" t="s">
        <v>656</v>
      </c>
      <c r="B27" s="826"/>
      <c r="C27" s="826">
        <v>2020</v>
      </c>
      <c r="D27" s="826">
        <v>2050</v>
      </c>
      <c r="E27" s="826" t="s">
        <v>646</v>
      </c>
    </row>
    <row r="28" spans="1:10">
      <c r="A28" s="826" t="s">
        <v>31</v>
      </c>
      <c r="B28" s="826" t="s">
        <v>7</v>
      </c>
      <c r="C28" s="827">
        <f>Process!Q9</f>
        <v>0.70767999999999998</v>
      </c>
      <c r="D28" s="828">
        <v>0.89</v>
      </c>
      <c r="E28" s="829">
        <f>D28-C28</f>
        <v>0.18232000000000004</v>
      </c>
    </row>
    <row r="29" spans="1:10">
      <c r="A29" s="826" t="s">
        <v>32</v>
      </c>
      <c r="B29" s="826" t="s">
        <v>8</v>
      </c>
      <c r="C29" s="830">
        <f>Process!Q10</f>
        <v>0.73855000000000004</v>
      </c>
      <c r="D29" s="831">
        <f>0.96*0.95*1*1*0.99*0.993</f>
        <v>0.89655983999999989</v>
      </c>
      <c r="E29" s="832">
        <f t="shared" ref="E29:E31" si="3">D29-C29</f>
        <v>0.15800983999999985</v>
      </c>
    </row>
    <row r="30" spans="1:10">
      <c r="A30" s="826" t="s">
        <v>146</v>
      </c>
      <c r="B30" s="826" t="s">
        <v>9</v>
      </c>
      <c r="C30" s="830">
        <f>Process!Q11</f>
        <v>0.73855000000000004</v>
      </c>
      <c r="D30" s="831">
        <f>D29</f>
        <v>0.89655983999999989</v>
      </c>
      <c r="E30" s="832">
        <f t="shared" si="3"/>
        <v>0.15800983999999985</v>
      </c>
    </row>
    <row r="31" spans="1:10" ht="14.4" thickBot="1">
      <c r="A31" s="826" t="s">
        <v>147</v>
      </c>
      <c r="B31" s="826" t="s">
        <v>78</v>
      </c>
      <c r="C31" s="833">
        <f>Process!Q12</f>
        <v>0.8</v>
      </c>
      <c r="D31" s="834">
        <v>0.9</v>
      </c>
      <c r="E31" s="835">
        <f t="shared" si="3"/>
        <v>9.9999999999999978E-2</v>
      </c>
    </row>
    <row r="34" spans="1:9" ht="15.6">
      <c r="A34" s="825" t="s">
        <v>657</v>
      </c>
      <c r="B34" s="806" t="s">
        <v>37</v>
      </c>
      <c r="C34" s="806" t="s">
        <v>154</v>
      </c>
      <c r="D34" s="806" t="s">
        <v>155</v>
      </c>
      <c r="E34" s="806" t="s">
        <v>40</v>
      </c>
      <c r="F34" s="806" t="s">
        <v>41</v>
      </c>
      <c r="G34" s="806" t="s">
        <v>42</v>
      </c>
      <c r="H34" s="806" t="s">
        <v>43</v>
      </c>
      <c r="I34" s="806" t="s">
        <v>44</v>
      </c>
    </row>
    <row r="35" spans="1:9" ht="14.4" thickBot="1">
      <c r="A35" s="560" t="s">
        <v>306</v>
      </c>
      <c r="B35" s="836" t="s">
        <v>13</v>
      </c>
      <c r="C35" s="836" t="s">
        <v>14</v>
      </c>
      <c r="D35" s="836" t="s">
        <v>15</v>
      </c>
      <c r="E35" s="836" t="s">
        <v>16</v>
      </c>
      <c r="F35" s="836" t="s">
        <v>17</v>
      </c>
      <c r="G35" s="836" t="s">
        <v>18</v>
      </c>
      <c r="H35" s="836" t="s">
        <v>19</v>
      </c>
      <c r="I35" s="836" t="s">
        <v>20</v>
      </c>
    </row>
    <row r="36" spans="1:9">
      <c r="A36" s="560" t="s">
        <v>652</v>
      </c>
      <c r="B36" s="837" cm="1">
        <f t="array" ref="B36:I36">C3:J3</f>
        <v>0.83566056686509393</v>
      </c>
      <c r="C36" s="838">
        <v>0.66475546407919206</v>
      </c>
      <c r="D36" s="838">
        <v>0.66028572282494968</v>
      </c>
      <c r="E36" s="838">
        <v>0.79068274720448628</v>
      </c>
      <c r="F36" s="838">
        <v>0.77133562954458457</v>
      </c>
      <c r="G36" s="838">
        <v>0.76979307242465123</v>
      </c>
      <c r="H36" s="838">
        <v>0.84215641569282729</v>
      </c>
      <c r="I36" s="839">
        <v>0.77120315581854026</v>
      </c>
    </row>
    <row r="37" spans="1:9" ht="14.4" thickBot="1">
      <c r="A37" s="560" t="s">
        <v>653</v>
      </c>
      <c r="B37" s="840" cm="1">
        <f t="array" ref="B37:I37">C17:J17</f>
        <v>0.9</v>
      </c>
      <c r="C37" s="561">
        <v>0.76</v>
      </c>
      <c r="D37" s="561">
        <v>0.76</v>
      </c>
      <c r="E37" s="561">
        <v>0.9</v>
      </c>
      <c r="F37" s="561">
        <v>0.9</v>
      </c>
      <c r="G37" s="561">
        <v>0.9</v>
      </c>
      <c r="H37" s="561">
        <v>0.9</v>
      </c>
      <c r="I37" s="841">
        <v>0.9</v>
      </c>
    </row>
    <row r="38" spans="1:9" ht="14.4" thickBot="1">
      <c r="A38" s="560" t="s">
        <v>651</v>
      </c>
      <c r="B38" s="842">
        <f>B37-B36</f>
        <v>6.4339433134906088E-2</v>
      </c>
      <c r="C38" s="843">
        <f t="shared" ref="C38:I38" si="4">C37-C36</f>
        <v>9.5244535920807949E-2</v>
      </c>
      <c r="D38" s="843">
        <f t="shared" si="4"/>
        <v>9.9714277175050325E-2</v>
      </c>
      <c r="E38" s="843">
        <f t="shared" si="4"/>
        <v>0.10931725279551374</v>
      </c>
      <c r="F38" s="843">
        <f t="shared" si="4"/>
        <v>0.12866437045541546</v>
      </c>
      <c r="G38" s="843">
        <f t="shared" si="4"/>
        <v>0.1302069275753488</v>
      </c>
      <c r="H38" s="843">
        <f t="shared" si="4"/>
        <v>5.7843584307172735E-2</v>
      </c>
      <c r="I38" s="844">
        <f t="shared" si="4"/>
        <v>0.12879684418145976</v>
      </c>
    </row>
    <row r="39" spans="1:9">
      <c r="A39" s="560" t="s">
        <v>655</v>
      </c>
      <c r="B39" s="840" cm="1">
        <f t="array" ref="B39:I39">C10:J10</f>
        <v>0.90650003626646747</v>
      </c>
      <c r="C39" s="561">
        <v>0.87432486131705645</v>
      </c>
      <c r="D39" s="561">
        <v>0.82770805193851615</v>
      </c>
      <c r="E39" s="561">
        <v>0.88530034679451486</v>
      </c>
      <c r="F39" s="561">
        <v>0.92509491069170335</v>
      </c>
      <c r="G39" s="561">
        <v>0.90632945815127952</v>
      </c>
      <c r="H39" s="561">
        <v>0.84217824253529006</v>
      </c>
      <c r="I39" s="841">
        <v>0.97180510373928608</v>
      </c>
    </row>
    <row r="40" spans="1:9" ht="14.4" thickBot="1">
      <c r="A40" s="560" t="s">
        <v>654</v>
      </c>
      <c r="B40" s="840" cm="1">
        <f t="array" ref="B40:I40">C24:J24</f>
        <v>0.93148838125481248</v>
      </c>
      <c r="C40" s="561">
        <v>0.90838834169632632</v>
      </c>
      <c r="D40" s="561">
        <v>0.87269827538336975</v>
      </c>
      <c r="E40" s="561">
        <v>0.93722262143268442</v>
      </c>
      <c r="F40" s="561">
        <v>0.94740472647978013</v>
      </c>
      <c r="G40" s="561">
        <v>0.95101214852933424</v>
      </c>
      <c r="H40" s="561">
        <v>0.90001018126478871</v>
      </c>
      <c r="I40" s="841">
        <v>0.98399112247552312</v>
      </c>
    </row>
    <row r="41" spans="1:9" ht="14.4" thickBot="1">
      <c r="A41" s="560" t="s">
        <v>651</v>
      </c>
      <c r="B41" s="842">
        <f>B40-B39</f>
        <v>2.4988344988345013E-2</v>
      </c>
      <c r="C41" s="843">
        <f t="shared" ref="C41:I41" si="5">C40-C39</f>
        <v>3.4063480379269873E-2</v>
      </c>
      <c r="D41" s="843">
        <f t="shared" si="5"/>
        <v>4.4990223444853594E-2</v>
      </c>
      <c r="E41" s="843">
        <f t="shared" si="5"/>
        <v>5.1922274638169563E-2</v>
      </c>
      <c r="F41" s="843">
        <f t="shared" si="5"/>
        <v>2.2309815788076781E-2</v>
      </c>
      <c r="G41" s="843">
        <f t="shared" si="5"/>
        <v>4.4682690378054724E-2</v>
      </c>
      <c r="H41" s="843">
        <f t="shared" si="5"/>
        <v>5.7831938729498655E-2</v>
      </c>
      <c r="I41" s="844">
        <f t="shared" si="5"/>
        <v>1.2186018736237036E-2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B746B-DCA4-4D1F-9C6D-F286301B3FAC}">
  <dimension ref="A1:C7"/>
  <sheetViews>
    <sheetView workbookViewId="0">
      <selection activeCell="F16" sqref="F16"/>
    </sheetView>
  </sheetViews>
  <sheetFormatPr defaultRowHeight="15.6"/>
  <cols>
    <col min="1" max="1" width="32.69921875" customWidth="1"/>
    <col min="2" max="2" width="13.19921875" customWidth="1"/>
    <col min="3" max="3" width="16.8984375" customWidth="1"/>
  </cols>
  <sheetData>
    <row r="1" spans="1:3">
      <c r="A1" t="s">
        <v>638</v>
      </c>
    </row>
    <row r="2" spans="1:3">
      <c r="B2" t="s">
        <v>640</v>
      </c>
      <c r="C2" t="s">
        <v>641</v>
      </c>
    </row>
    <row r="3" spans="1:3">
      <c r="A3" t="s">
        <v>645</v>
      </c>
      <c r="B3" s="49">
        <v>1502.3302697435399</v>
      </c>
      <c r="C3" s="188">
        <v>0</v>
      </c>
    </row>
    <row r="4" spans="1:3">
      <c r="A4" t="s">
        <v>637</v>
      </c>
      <c r="B4" s="49">
        <v>8055.10683510327</v>
      </c>
      <c r="C4" s="847">
        <v>0.47537660933352399</v>
      </c>
    </row>
    <row r="5" spans="1:3">
      <c r="A5" t="s">
        <v>639</v>
      </c>
      <c r="B5" s="49">
        <v>2836.13142351851</v>
      </c>
      <c r="C5" s="804">
        <f>upstream!U24</f>
        <v>0.64774999999999994</v>
      </c>
    </row>
    <row r="6" spans="1:3">
      <c r="B6" t="s">
        <v>643</v>
      </c>
      <c r="C6" t="s">
        <v>644</v>
      </c>
    </row>
    <row r="7" spans="1:3">
      <c r="A7" t="s">
        <v>642</v>
      </c>
      <c r="B7" s="845">
        <v>0.45719793600000003</v>
      </c>
      <c r="C7" s="846">
        <f>SUMPRODUCT(B3:B5,C3:C5)/SUM(B3:B5)</f>
        <v>0.45719790000000704</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Raw</vt:lpstr>
      <vt:lpstr>upstream</vt:lpstr>
      <vt:lpstr>downstream</vt:lpstr>
      <vt:lpstr>end_use</vt:lpstr>
      <vt:lpstr>Process</vt:lpstr>
      <vt:lpstr>Parameters</vt:lpstr>
      <vt:lpstr>A</vt:lpstr>
      <vt:lpstr>CF and cost</vt:lpstr>
      <vt:lpstr>semi_CF</vt:lpstr>
      <vt:lpstr>Display</vt:lpstr>
      <vt:lpstr>Scrap</vt:lpstr>
      <vt:lpstr>Scenario A</vt:lpstr>
      <vt:lpstr>Scenario B</vt:lpstr>
      <vt:lpstr>Display!_Ref171496331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Deng, Sidi</dc:creator>
  <cp:lastModifiedBy>Sidi Deng</cp:lastModifiedBy>
  <dcterms:created xsi:type="dcterms:W3CDTF">2023-12-13T20:43:22Z</dcterms:created>
  <dcterms:modified xsi:type="dcterms:W3CDTF">2025-11-05T15:39:31Z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2023-12-13T20:43:27Z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e485fcfd-3383-4056-9729-ce2275c3fd90</vt:lpwstr>
  </property>
  <property fmtid="{D5CDD505-2E9C-101B-9397-08002B2CF9AE}" pid="8" name="MSIP_Label_4044bd30-2ed7-4c9d-9d12-46200872a97b_ContentBits">
    <vt:lpwstr>0</vt:lpwstr>
  </property>
</Properties>
</file>